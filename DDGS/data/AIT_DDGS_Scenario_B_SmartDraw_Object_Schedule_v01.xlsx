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3094501dc949f1" /></Relationships>
</file>

<file path=xl/workbook.xml><?xml version="1.0" encoding="utf-8"?>
<ns0:workbook xmlns:ns0="http://schemas.openxmlformats.org/spreadsheetml/2006/main" xmlns:ns1="http://schemas.openxmlformats.org/officeDocument/2006/relationships">
  <ns0:sheets>
    <ns0:sheet name="Read Me" sheetId="1" ns1:id="Rafde0b8de0bf45c0"/>
    <ns0:sheet name="Summary" sheetId="2" ns1:id="R4f7d19a03805472e"/>
    <ns0:sheet name="Object Schedule" sheetId="3" ns1:id="R98c2040479bc4669"/>
    <ns0:sheet name="Scenario B Basis" sheetId="4" ns1:id="Radd24b655ec749f8"/>
    <ns0:sheet name="Furniture Modules" sheetId="5" ns1:id="R74a50e79eb2c4d23"/>
    <ns0:sheet name="Layout Concepts" sheetId="6" ns1:id="Radf2452051bb46ec"/>
    <ns0:sheet name="Sources" sheetId="7" ns1:id="R3bfdc131975b4013"/>
    <ns0:sheet name="Review Flags" sheetId="8" ns1:id="R1f3638a6af6a4763"/>
    <ns0:sheet name="_Lists" sheetId="9" ns1:id="Rb4bf577796ea4fba" state="hidden"/>
  </ns0:sheets>
</ns0: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14">
    <x:font>
      <x:sz val="11"/>
      <x:color theme="1"/>
      <x:name val="Calibri"/>
    </x:font>
    <x:font>
      <x:b/>
      <x:sz val="16"/>
      <x:color rgb="FFFFFFFF"/>
    </x:font>
    <x:font>
      <x:b/>
      <x:sz val="11"/>
      <x:color rgb="FFFFFFFF"/>
    </x:font>
    <x:font>
      <x:b/>
      <x:color rgb="FF666666"/>
    </x:font>
    <x:font>
      <x:b/>
      <x:color rgb="FF008000"/>
    </x:font>
    <x:font>
      <x:b/>
      <x:color rgb="FFC65911"/>
    </x:font>
    <x:font>
      <x:b/>
      <x:color rgb="FF000000"/>
    </x:font>
    <x:font>
      <x:b/>
      <x:sz val="10"/>
      <x:color rgb="FFFFFFFF"/>
    </x:font>
    <x:font>
      <x:sz val="9"/>
      <x:color rgb="FF666666"/>
    </x:font>
    <x:font>
      <x:sz val="9"/>
      <x:color rgb="FF008000"/>
    </x:font>
    <x:font>
      <x:sz val="9"/>
      <x:color rgb="FF000000"/>
    </x:font>
    <x:font>
      <x:sz val="12"/>
      <x:color theme="10"/>
      <x:name val="Calibri"/>
    </x:font>
    <x:font>
      <x:sz val="9"/>
      <x:color rgb="FF0563C1"/>
    </x:font>
    <x:font>
      <x:b/>
    </x:font>
  </x:fonts>
  <x:fills count="12">
    <x:fill>
      <x:patternFill patternType="none"/>
    </x:fill>
    <x:fill>
      <x:patternFill patternType="gray125"/>
    </x:fill>
    <x:fill>
      <x:patternFill patternType="solid">
        <x:fgColor rgb="FF17365D"/>
      </x:patternFill>
    </x:fill>
    <x:fill>
      <x:patternFill patternType="solid">
        <x:fgColor rgb="FF0F6B78"/>
      </x:patternFill>
    </x:fill>
    <x:fill>
      <x:patternFill patternType="solid">
        <x:fgColor rgb="FFE2F0D9"/>
      </x:patternFill>
    </x:fill>
    <x:fill>
      <x:patternFill patternType="solid">
        <x:fgColor rgb="FFE7E6E6"/>
      </x:patternFill>
    </x:fill>
    <x:fill>
      <x:patternFill patternType="solid">
        <x:fgColor rgb="FFFCE4D6"/>
      </x:patternFill>
    </x:fill>
    <x:fill>
      <x:patternFill patternType="solid">
        <x:fgColor rgb="FFF4CCCC"/>
      </x:patternFill>
    </x:fill>
    <x:fill>
      <x:patternFill patternType="solid">
        <x:fgColor rgb="FFE4DFEC"/>
      </x:patternFill>
    </x:fill>
    <x:fill>
      <x:patternFill patternType="solid">
        <x:fgColor rgb="FF1F4E78"/>
      </x:patternFill>
    </x:fill>
    <x:fill>
      <x:patternFill patternType="solid">
        <x:fgColor rgb="FFC65911"/>
      </x:patternFill>
    </x:fill>
    <x:fill>
      <x:patternFill patternType="solid">
        <x:fgColor rgb="FFFFF2CC"/>
      </x:patternFill>
    </x:fill>
  </x:fills>
  <x:borders count="2">
    <x:border/>
    <x:border>
      <x:bottom style="medium">
        <x:color rgb="FF17365D"/>
      </x:bottom>
    </x:border>
  </x:borders>
  <x:cellStyleXfs count="2">
    <x:xf numFmtId="0" fontId="0" fillId="0" borderId="0"/>
    <x:xf numFmtId="0" fontId="11" fillId="0" borderId="0"/>
  </x:cellStyleXfs>
  <x:cellXfs count="30">
    <x:xf numFmtId="0" fontId="0" fillId="0" borderId="0" xfId="0"/>
    <x:xf numFmtId="0" fontId="1" fillId="2" borderId="0" xfId="0" applyAlignment="1">
      <x:alignment horizontal="left" vertical="center"/>
    </x:xf>
    <x:xf numFmtId="0" fontId="2" fillId="3" borderId="0" xfId="0" applyAlignment="1">
      <x:alignment horizontal="left" vertical="center"/>
    </x:xf>
    <x:xf numFmtId="0" fontId="0" fillId="0" borderId="0" xfId="0" applyAlignment="1">
      <x:alignment vertical="top" wrapText="1"/>
    </x:xf>
    <x:xf numFmtId="0" fontId="3" fillId="0" borderId="0" xfId="0"/>
    <x:xf numFmtId="0" fontId="4" fillId="4" borderId="0" xfId="0"/>
    <x:xf numFmtId="0" fontId="3" fillId="5" borderId="0" xfId="0"/>
    <x:xf numFmtId="0" fontId="5" fillId="6" borderId="0" xfId="0"/>
    <x:xf numFmtId="0" fontId="6" fillId="7" borderId="0" xfId="0"/>
    <x:xf numFmtId="0" fontId="6" fillId="8" borderId="0" xfId="0"/>
    <x:xf numFmtId="0" fontId="7" fillId="9" borderId="1" xfId="0" applyAlignment="1">
      <x:alignment horizontal="center" vertical="center" wrapText="1"/>
    </x:xf>
    <x:xf numFmtId="0" fontId="0" fillId="8" borderId="0" xfId="0" applyAlignment="1">
      <x:alignment wrapText="1"/>
    </x:xf>
    <x:xf numFmtId="0" fontId="2" fillId="10" borderId="0" xfId="0" applyAlignment="1">
      <x:alignment horizontal="left" vertical="center"/>
    </x:xf>
    <x:xf numFmtId="164" fontId="6" fillId="0" borderId="0" xfId="0"/>
    <x:xf numFmtId="0" fontId="0" fillId="0" borderId="0" xfId="0" applyAlignment="1">
      <x:alignment wrapText="1"/>
    </x:xf>
    <x:xf numFmtId="164" fontId="0" fillId="0" borderId="0" xfId="0"/>
    <x:xf numFmtId="0" fontId="6" fillId="8" borderId="0" xfId="0" applyAlignment="1">
      <x:alignment vertical="center" wrapText="1"/>
    </x:xf>
    <x:xf numFmtId="0" fontId="8" fillId="0" borderId="0" xfId="0" applyAlignment="1">
      <x:alignment vertical="top" wrapText="1"/>
    </x:xf>
    <x:xf numFmtId="0" fontId="9" fillId="0" borderId="0" xfId="0" applyAlignment="1">
      <x:alignment vertical="top" wrapText="1"/>
    </x:xf>
    <x:xf numFmtId="164" fontId="9" fillId="0" borderId="0" xfId="0" applyAlignment="1">
      <x:alignment horizontal="center" vertical="top" wrapText="1"/>
    </x:xf>
    <x:xf numFmtId="164" fontId="8" fillId="0" borderId="0" xfId="0" applyAlignment="1">
      <x:alignment horizontal="center" vertical="top" wrapText="1"/>
    </x:xf>
    <x:xf numFmtId="0" fontId="12" fillId="0" borderId="0" xfId="1"/>
    <x:xf numFmtId="164" fontId="10" fillId="0" borderId="0" xfId="0" applyAlignment="1">
      <x:alignment horizontal="center" vertical="top" wrapText="1"/>
    </x:xf>
    <x:xf numFmtId="0" fontId="10" fillId="0" borderId="0" xfId="0" applyAlignment="1">
      <x:alignment vertical="top" wrapText="1"/>
    </x:xf>
    <x:xf numFmtId="0" fontId="13" fillId="8" borderId="0" xfId="0" applyAlignment="1">
      <x:alignment wrapText="1"/>
    </x:xf>
    <x:xf numFmtId="0" fontId="0" fillId="4" borderId="0" xfId="0" applyAlignment="1">
      <x:alignment vertical="top" wrapText="1"/>
    </x:xf>
    <x:xf numFmtId="0" fontId="0" fillId="6" borderId="0" xfId="0" applyAlignment="1">
      <x:alignment vertical="top" wrapText="1"/>
    </x:xf>
    <x:xf numFmtId="0" fontId="13" fillId="7" borderId="0" xfId="0" applyAlignment="1">
      <x:alignment vertical="top" wrapText="1"/>
    </x:xf>
    <x:xf numFmtId="0" fontId="13" fillId="6" borderId="0" xfId="0" applyAlignment="1">
      <x:alignment vertical="top" wrapText="1"/>
    </x:xf>
    <x:xf numFmtId="0" fontId="13" fillId="11" borderId="0" xfId="0" applyAlignment="1">
      <x:alignment vertical="top" wrapText="1"/>
    </x:xf>
  </x:cellXfs>
  <x:cellStyles count="2">
    <x:cellStyle name="Normal" xfId="0"/>
    <x:cellStyle name="Hyperlink" xfId="1"/>
  </x:cellStyles>
  <x:dxfs count="4">
    <x:dxf>
      <x:fill>
        <x:patternFill>
          <x:bgColor rgb="00E2F0D9"/>
        </x:patternFill>
      </x:fill>
    </x:dxf>
    <x:dxf>
      <x:fill>
        <x:patternFill>
          <x:bgColor rgb="00F4CCCC"/>
        </x:patternFill>
      </x:fill>
    </x:dxf>
    <x:dxf>
      <x:fill>
        <x:patternFill>
          <x:bgColor rgb="00E4DFEC"/>
        </x:patternFill>
      </x:fill>
    </x:dxf>
    <x:dxf>
      <x:fill>
        <x:patternFill>
          <x:bgColor rgb="00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07823b102f3490a" /><Relationship Type="http://schemas.openxmlformats.org/officeDocument/2006/relationships/theme" Target="/xl/theme/theme1.xml" Id="R212e1bbea5294d7e" /><Relationship Type="http://schemas.openxmlformats.org/officeDocument/2006/relationships/sharedStrings" Target="/xl/sharedStrings.xml" Id="R620e00ba36274c64" /><Relationship Type="http://schemas.openxmlformats.org/officeDocument/2006/relationships/worksheet" Target="/xl/worksheets/sheet1.xml" Id="Rafde0b8de0bf45c0" /><Relationship Type="http://schemas.openxmlformats.org/officeDocument/2006/relationships/worksheet" Target="/xl/worksheets/sheet2.xml" Id="R4f7d19a03805472e" /><Relationship Type="http://schemas.openxmlformats.org/officeDocument/2006/relationships/worksheet" Target="/xl/worksheets/sheet3.xml" Id="R98c2040479bc4669" /><Relationship Type="http://schemas.openxmlformats.org/officeDocument/2006/relationships/worksheet" Target="/xl/worksheets/sheet4.xml" Id="Radd24b655ec749f8" /><Relationship Type="http://schemas.openxmlformats.org/officeDocument/2006/relationships/worksheet" Target="/xl/worksheets/sheet5.xml" Id="R74a50e79eb2c4d23" /><Relationship Type="http://schemas.openxmlformats.org/officeDocument/2006/relationships/worksheet" Target="/xl/worksheets/sheet6.xml" Id="Radf2452051bb46ec" /><Relationship Type="http://schemas.openxmlformats.org/officeDocument/2006/relationships/worksheet" Target="/xl/worksheets/sheet7.xml" Id="R3bfdc131975b4013" /><Relationship Type="http://schemas.openxmlformats.org/officeDocument/2006/relationships/worksheet" Target="/xl/worksheets/sheet8.xml" Id="R1f3638a6af6a4763" /><Relationship Type="http://schemas.openxmlformats.org/officeDocument/2006/relationships/worksheet" Target="/xl/worksheets/sheet9.xml" Id="Rb4bf577796ea4fba" /></Relationships>
</file>

<file path=xl/tables/table1.xml><?xml version="1.0" encoding="utf-8"?>
<x:table xmlns:x="http://schemas.openxmlformats.org/spreadsheetml/2006/main" id="1" name="ScenarioBObjectSchedule" displayName="ScenarioBObjectSchedule" ref="A4:AG78" headerRowCount="1">
  <x:autoFilter ref="A4:AG78"/>
  <x:tableColumns count="33">
    <x:tableColumn id="1" name="Object ID"/>
    <x:tableColumn id="2" name="Object class"/>
    <x:tableColumn id="3" name="Zone"/>
    <x:tableColumn id="4" name="Scenario B status"/>
    <x:tableColumn id="5" name="Qty"/>
    <x:tableColumn id="6" name="SmartDraw label"/>
    <x:tableColumn id="7" name="Vendor / model"/>
    <x:tableColumn id="8" name="Actual body W (in)"/>
    <x:tableColumn id="9" name="Actual body D (in)"/>
    <x:tableColumn id="10" name="Actual H (in)"/>
    <x:tableColumn id="11" name="SmartDraw block W (in)"/>
    <x:tableColumn id="12" name="SmartDraw block D (in)"/>
    <x:tableColumn id="13" name="Planning envelope W (in)"/>
    <x:tableColumn id="14" name="Planning envelope D (in)"/>
    <x:tableColumn id="15" name="Support / furniture ID"/>
    <x:tableColumn id="16" name="Primary association / workflow"/>
    <x:tableColumn id="17" name="Electrical"/>
    <x:tableColumn id="18" name="Water / drain"/>
    <x:tableColumn id="19" name="Gas"/>
    <x:tableColumn id="20" name="Exhaust / ventilation"/>
    <x:tableColumn id="21" name="Preferred placement"/>
    <x:tableColumn id="22" name="Verification level"/>
    <x:tableColumn id="23" name="Source name"/>
    <x:tableColumn id="24" name="Source URL"/>
    <x:tableColumn id="25" name="Notes / constraints"/>
    <x:tableColumn id="26" name="Suggested SmartDraw layer"/>
    <x:tableColumn id="27" name="Floor area counted?"/>
    <x:tableColumn id="28" name="Body area (sq ft)"/>
    <x:tableColumn id="29" name="Envelope area (sq ft)"/>
    <x:tableColumn id="30" name="Counted floor footprint (sq ft)"/>
    <x:tableColumn id="31" name="Block area (sq ft)"/>
    <x:tableColumn id="32" name="Status key"/>
    <x:tableColumn id="33" name="Review flag"/>
  </x:tableColumns>
  <x:tableStyleInfo name="TableStyleMedium2" showFirstColumn="0" showLastColumn="0" showRowStripes="1" showColumnStripes="0"/>
</x:table>
</file>

<file path=xl/tables/table2.xml><?xml version="1.0" encoding="utf-8"?>
<x:table xmlns:x="http://schemas.openxmlformats.org/spreadsheetml/2006/main" id="2" name="ScenarioBBasis" displayName="ScenarioBBasis" ref="A3:O21" headerRowCount="1">
  <x:autoFilter ref="A3:O21"/>
  <x:tableColumns count="15">
    <x:tableColumn id="1" name="Option ID"/>
    <x:tableColumn id="2" name="Category"/>
    <x:tableColumn id="3" name="Vendor"/>
    <x:tableColumn id="4" name="Model / item"/>
    <x:tableColumn id="5" name="Launch priority"/>
    <x:tableColumn id="6" name="Gafta Gate Status"/>
    <x:tableColumn id="7" name="Required Gafta Method"/>
    <x:tableColumn id="8" name="Recommendation / notes"/>
    <x:tableColumn id="9" name="Product URL"/>
    <x:tableColumn id="10" name="Electrical"/>
    <x:tableColumn id="11" name="Ventilation / exhaust"/>
    <x:tableColumn id="12" name="Plumbing / drain"/>
    <x:tableColumn id="13" name="Gas"/>
    <x:tableColumn id="14" name="Other site / furniture needs"/>
    <x:tableColumn id="15" name="Site comments"/>
  </x:tableColumns>
  <x:tableStyleInfo name="TableStyleMedium4" showFirstColumn="0" showLastColumn="0" showRowStripes="1" showColumnStripes="0"/>
</x:table>
</file>

<file path=xl/tables/table3.xml><?xml version="1.0" encoding="utf-8"?>
<x:table xmlns:x="http://schemas.openxmlformats.org/spreadsheetml/2006/main" id="3" name="FurnitureModules" displayName="FurnitureModules" ref="A3:J13" headerRowCount="1">
  <x:autoFilter ref="A3:J13"/>
  <x:tableColumns count="10">
    <x:tableColumn id="1" name="Module"/>
    <x:tableColumn id="2" name="Size W x D (in)"/>
    <x:tableColumn id="3" name="Typical use"/>
    <x:tableColumn id="4" name="Preferred construction"/>
    <x:tableColumn id="5" name="Floor capacity / notes"/>
    <x:tableColumn id="6" name="Use cabinets?"/>
    <x:tableColumn id="7" name="Source"/>
    <x:tableColumn id="8" name="Source URL"/>
    <x:tableColumn id="9" name="SmartDraw rule"/>
    <x:tableColumn id="10" name="Status"/>
  </x:tableColumns>
  <x:tableStyleInfo name="TableStyleMedium2" showRowStripes="1"/>
</x:table>
</file>

<file path=xl/tables/table4.xml><?xml version="1.0" encoding="utf-8"?>
<x:table xmlns:x="http://schemas.openxmlformats.org/spreadsheetml/2006/main" id="4" name="SourceRegister" displayName="SourceRegister" ref="A3:E24" headerRowCount="1">
  <x:autoFilter ref="A3:E24"/>
  <x:tableColumns count="5">
    <x:tableColumn id="1" name="Source ID"/>
    <x:tableColumn id="2" name="Source type"/>
    <x:tableColumn id="3" name="Title / item"/>
    <x:tableColumn id="4" name="URL or file name"/>
    <x:tableColumn id="5" name="Use in schedule"/>
  </x:tableColumns>
  <x:tableStyleInfo name="TableStyleMedium9" showRowStripes="1"/>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https://www.fritsch-international.com/sample-preparation/milling/cutting-mills/details/product/pulverisette-19-50-700-rpm/technical-details/" TargetMode="External" Id="R876999cefe8b419d" /><Relationship Type="http://schemas.openxmlformats.org/officeDocument/2006/relationships/hyperlink" Target="https://www.fossanalytics.com/en/products/ct-293-cyclotec" TargetMode="External" Id="Rda4ddd2f2e6a4237" /><Relationship Type="http://schemas.openxmlformats.org/officeDocument/2006/relationships/hyperlink" Target="https://www.retsch.com/products/assisting/sample-divider/pt-100/" TargetMode="External" Id="R576f7e492a754fc1" /><Relationship Type="http://schemas.openxmlformats.org/officeDocument/2006/relationships/hyperlink" Target="https://www.retsch.com/products/sieving/sieve-shakers/as-200-basic" TargetMode="External" Id="Rfda3a683da97485a" /><Relationship Type="http://schemas.openxmlformats.org/officeDocument/2006/relationships/hyperlink" Target="https://www.thermofisher.com/us/en/home/industrial/spectroscopy-elemental-isotope-analysis/molecular-spectroscopy/uv-vis-spectrophotometry/instruments/evolution-uv-vis-spectrophotometer.html" TargetMode="External" Id="R0f62310542024ee5" /><Relationship Type="http://schemas.openxmlformats.org/officeDocument/2006/relationships/hyperlink" Target="https://rudolphresearch.com/products/polarimeters/autopol-i/" TargetMode="External" Id="Ra1c8288538794d54" /><Relationship Type="http://schemas.openxmlformats.org/officeDocument/2006/relationships/hyperlink" Target="https://www.hunterlab.com/en/products/benchtop-spectrophotometers/colorflex-ez/" TargetMode="External" Id="R5af6b0f5bcd7408d" /><Relationship Type="http://schemas.openxmlformats.org/officeDocument/2006/relationships/hyperlink" Target="https://www.copleyscientific.com/pharmaceutical-testing/powder-testing/tapped-density-jvi-series/" TargetMode="External" Id="R16ba163c4bab42c0" /><Relationship Type="http://schemas.openxmlformats.org/officeDocument/2006/relationships/hyperlink" Target="https://www.labfriend.de/mettler-toledo-analytical-balance-ma204" TargetMode="External" Id="Rb7c9e0459b704856" /><Relationship Type="http://schemas.openxmlformats.org/officeDocument/2006/relationships/hyperlink" Target="https://www.labfriend.de/mettler-toledo-analytical-balance-ma204" TargetMode="External" Id="R9410748892c7494c" /><Relationship Type="http://schemas.openxmlformats.org/officeDocument/2006/relationships/hyperlink" Target="https://www.thermofisher.com/order/catalog/product/51028112" TargetMode="External" Id="R62764c919fb74be0" /><Relationship Type="http://schemas.openxmlformats.org/officeDocument/2006/relationships/hyperlink" Target="https://www.thermofisher.com/order/catalog/product/F6010" TargetMode="External" Id="R54b5645bd80f42f0" /><Relationship Type="http://schemas.openxmlformats.org/officeDocument/2006/relationships/hyperlink" Target="https://www.leco.com/products/828-series/" TargetMode="External" Id="Rf666ef4071744029" /><Relationship Type="http://schemas.openxmlformats.org/officeDocument/2006/relationships/hyperlink" Target="https://www.velp.com/en-ww/fiwe-fiber-analyzers.aspx" TargetMode="External" Id="R9d18ef2cb7d04b4b" /><Relationship Type="http://schemas.openxmlformats.org/officeDocument/2006/relationships/hyperlink" Target="https://sykam.com/product/amino-acid-analyzers/s-433-amino-acid-analyzer/" TargetMode="External" Id="Rbbda3962b3ab4b12" /><Relationship Type="http://schemas.openxmlformats.org/officeDocument/2006/relationships/hyperlink" Target="https://www.uline.com/BL_3509/Lab-Workbenches" TargetMode="External" Id="Rc356f5cd01e54e1c" /><Relationship Type="http://schemas.openxmlformats.org/officeDocument/2006/relationships/hyperlink" Target="https://www.uline.com/BL_3509/Lab-Workbenches" TargetMode="External" Id="Raaab4d33f0bd4274" /><Relationship Type="http://schemas.openxmlformats.org/officeDocument/2006/relationships/hyperlink" Target="https://www.uline.com/BL_3509/Lab-Workbenches" TargetMode="External" Id="Rda2e2aa04e594738" /><Relationship Type="http://schemas.openxmlformats.org/officeDocument/2006/relationships/hyperlink" Target="https://www.uline.com/BL_3509/Lab-Workbenches" TargetMode="External" Id="R2c25f957c37a441a" /><Relationship Type="http://schemas.openxmlformats.org/officeDocument/2006/relationships/hyperlink" Target="https://www.uline.com/BL_3509/Lab-Workbenches" TargetMode="External" Id="R14790fdab0f941a5" /><Relationship Type="http://schemas.openxmlformats.org/officeDocument/2006/relationships/hyperlink" Target="https://www.mt.com/us/en/home/products/Laboratory_Weighing_Solutions/analytical-balances.html" TargetMode="External" Id="R0f57c224c6434ff9" /><Relationship Type="http://schemas.openxmlformats.org/officeDocument/2006/relationships/hyperlink" Target="https://www.uline.com/BL_3509/Lab-Workbenches" TargetMode="External" Id="Radf7e0d84a944666" /><Relationship Type="http://schemas.openxmlformats.org/officeDocument/2006/relationships/hyperlink" Target="https://www.uline.com/BL_3509/Lab-Workbenches" TargetMode="External" Id="R9ef427bbf2be4b72" /><Relationship Type="http://schemas.openxmlformats.org/officeDocument/2006/relationships/hyperlink" Target="https://www.mt.com/us/en/home/products/Laboratory_Weighing_Solutions/analytical-balances.html" TargetMode="External" Id="Rd6f16cdb86bc441a" /><Relationship Type="http://schemas.openxmlformats.org/officeDocument/2006/relationships/hyperlink" Target="https://www.uline.com/BL_3509/Lab-Workbenches" TargetMode="External" Id="R3670a80b0f1d43b1" /><Relationship Type="http://schemas.openxmlformats.org/officeDocument/2006/relationships/hyperlink" Target="https://www.uline.com/BL_3509/Lab-Workbenches" TargetMode="External" Id="Rdf9e70de28f04e1d" /><Relationship Type="http://schemas.openxmlformats.org/officeDocument/2006/relationships/hyperlink" Target="https://www.uline.com/BL_4572/Lab-Cabinet-Workbenches" TargetMode="External" Id="R25c45109ae1a4e5b" /><Relationship Type="http://schemas.openxmlformats.org/officeDocument/2006/relationships/hyperlink" Target="https://www.uline.com/BL_3509/Lab-Workbenches" TargetMode="External" Id="Rb20d42ea72984e45" /><Relationship Type="http://schemas.openxmlformats.org/officeDocument/2006/relationships/table" Target="/xl/tables/table1.xml" Id="Rd1a9faa8ceea4254" /></Relationships>
</file>

<file path=xl/worksheets/_rels/sheet4.xml.rels>&#65279;<?xml version="1.0" encoding="utf-8"?><Relationships xmlns="http://schemas.openxmlformats.org/package/2006/relationships"><Relationship Type="http://schemas.openxmlformats.org/officeDocument/2006/relationships/hyperlink" Target="https://www.shimadzu.com/an/resources/movies/LCMS-8040/index.html" TargetMode="External" Id="R310288824dfc4065" /><Relationship Type="http://schemas.openxmlformats.org/officeDocument/2006/relationships/hyperlink" Target="User provided - existing ICP-OES" TargetMode="External" Id="R05600c038ceb4bf1" /><Relationship Type="http://schemas.openxmlformats.org/officeDocument/2006/relationships/hyperlink" Target="https://www.thermofisher.com/order/catalog/product/840-341400" TargetMode="External" Id="Rc09db06b03ae4f81" /><Relationship Type="http://schemas.openxmlformats.org/officeDocument/2006/relationships/hyperlink" Target="https://www.thermofisher.com/order/catalog/product/51028112" TargetMode="External" Id="R33328546eaee458c" /><Relationship Type="http://schemas.openxmlformats.org/officeDocument/2006/relationships/hyperlink" Target="https://www.leco.com/products/828-series/" TargetMode="External" Id="Rb38dc9663e3547ea" /><Relationship Type="http://schemas.openxmlformats.org/officeDocument/2006/relationships/hyperlink" Target="https://www.labx.com/product/soxhlet-extractor" TargetMode="External" Id="Rbc42d3930ae244eb" /><Relationship Type="http://schemas.openxmlformats.org/officeDocument/2006/relationships/hyperlink" Target="https://www.fishersci.co.uk/shop/products/fiwe6-fiber-analyzer/11775714" TargetMode="External" Id="R6b95a69e7cf8441b" /><Relationship Type="http://schemas.openxmlformats.org/officeDocument/2006/relationships/hyperlink" Target="https://rudolphresearch.com/products/polarimeters/autopol-i/" TargetMode="External" Id="Rfbe55af81b574f40" /><Relationship Type="http://schemas.openxmlformats.org/officeDocument/2006/relationships/hyperlink" Target="https://www.hunterlab.com/en/products/benchtop-spectrophotometers/colorflex-ez/" TargetMode="External" Id="Raa9d03c0b9e24e9b" /><Relationship Type="http://schemas.openxmlformats.org/officeDocument/2006/relationships/hyperlink" Target="https://www.copleyscientific.com/pharmaceutical-testing/powder-testing/tapped-density-jvi-series/" TargetMode="External" Id="R465b22c778924b63" /><Relationship Type="http://schemas.openxmlformats.org/officeDocument/2006/relationships/hyperlink" Target="https://sykam.com/product/amino-acid-analyzers/s-433-amino-acid-analyzer/" TargetMode="External" Id="R76739954fda34f48" /><Relationship Type="http://schemas.openxmlformats.org/officeDocument/2006/relationships/hyperlink" Target="User provided - existing Anton Paar Multiwave 5000" TargetMode="External" Id="Rfd739fd6698b4377" /><Relationship Type="http://schemas.openxmlformats.org/officeDocument/2006/relationships/hyperlink" Target="https://www.fritsch-international.com/sample-preparation/milling/cutting-mills/details/product/pulverisette-19-50-700-rpm/" TargetMode="External" Id="R2f2ea150d3d547fc" /><Relationship Type="http://schemas.openxmlformats.org/officeDocument/2006/relationships/hyperlink" Target="https://www.fossanalytics.com/en/products/ct-293-cyclotec" TargetMode="External" Id="Rca31e284d247486a" /><Relationship Type="http://schemas.openxmlformats.org/officeDocument/2006/relationships/hyperlink" Target="https://www.retsch.com/products/assisting/sample-divider/pt-100/" TargetMode="External" Id="Rc27b3a8a6b3e4ff0" /><Relationship Type="http://schemas.openxmlformats.org/officeDocument/2006/relationships/hyperlink" Target="https://www.retsch.com/products/sieving/sieve-shakers/as-200-basic" TargetMode="External" Id="Re8c46926359c4b69" /><Relationship Type="http://schemas.openxmlformats.org/officeDocument/2006/relationships/hyperlink" Target="https://www.globalgilson.com/8-inch-sieve-all-stainless-full-height-number-18" TargetMode="External" Id="Rd856fc16f0744de0" /><Relationship Type="http://schemas.openxmlformats.org/officeDocument/2006/relationships/hyperlink" Target="User provided COA methods - Calculation" TargetMode="External" Id="Re6ed3e64438b4078" /><Relationship Type="http://schemas.openxmlformats.org/officeDocument/2006/relationships/table" Target="/xl/tables/table2.xml" Id="Rb27b6d0ccde84c23" /></Relationships>
</file>

<file path=xl/worksheets/_rels/sheet5.xml.rels>&#65279;<?xml version="1.0" encoding="utf-8"?><Relationships xmlns="http://schemas.openxmlformats.org/package/2006/relationships"><Relationship Type="http://schemas.openxmlformats.org/officeDocument/2006/relationships/hyperlink" Target="https://www.uline.com/BL_3509/Lab-Workbenches" TargetMode="External" Id="R5a20023a419f416c" /><Relationship Type="http://schemas.openxmlformats.org/officeDocument/2006/relationships/hyperlink" Target="https://www.uline.com/BL_3509/Lab-Workbenches" TargetMode="External" Id="Rd159ed53e9844af9" /><Relationship Type="http://schemas.openxmlformats.org/officeDocument/2006/relationships/hyperlink" Target="https://www.uline.com/BL_3509/Lab-Workbenches" TargetMode="External" Id="Rf5c2125e50354948" /><Relationship Type="http://schemas.openxmlformats.org/officeDocument/2006/relationships/hyperlink" Target="https://www.uline.com/BL_3509/Lab-Workbenches" TargetMode="External" Id="R87e64ec82b1a4fb6" /><Relationship Type="http://schemas.openxmlformats.org/officeDocument/2006/relationships/hyperlink" Target="https://www.uline.com/BL_3509/Lab-Workbenches" TargetMode="External" Id="Rcc3c857081f84f17" /><Relationship Type="http://schemas.openxmlformats.org/officeDocument/2006/relationships/hyperlink" Target="https://www.uline.com/Grp_748/Lab-Workstations" TargetMode="External" Id="R1f0d032508f5423b" /><Relationship Type="http://schemas.openxmlformats.org/officeDocument/2006/relationships/hyperlink" Target="https://www.uline.com/BL_4572/Lab-Cabinet-Workbenches" TargetMode="External" Id="R65257f8f6d1940d6" /><Relationship Type="http://schemas.openxmlformats.org/officeDocument/2006/relationships/hyperlink" Target="https://www.mt.com/us/en/home/products/Laboratory_Weighing_Solutions/analytical-balances.html" TargetMode="External" Id="Rfaba15c3f57b4bf4" /><Relationship Type="http://schemas.openxmlformats.org/officeDocument/2006/relationships/table" Target="/xl/tables/table3.xml" Id="R88e67dd4b6bd436a" /></Relationships>
</file>

<file path=xl/worksheets/_rels/sheet7.xml.rels>&#65279;<?xml version="1.0" encoding="utf-8"?><Relationships xmlns="http://schemas.openxmlformats.org/package/2006/relationships"><Relationship Type="http://schemas.openxmlformats.org/officeDocument/2006/relationships/hyperlink" Target="https://www.uline.com/BL_3509/Lab-Workbenches" TargetMode="External" Id="R4d32ec432da641af" /><Relationship Type="http://schemas.openxmlformats.org/officeDocument/2006/relationships/hyperlink" Target="https://www.uline.com/Grp_748/Lab-Workstations" TargetMode="External" Id="Rc1103901391d4e21" /><Relationship Type="http://schemas.openxmlformats.org/officeDocument/2006/relationships/hyperlink" Target="https://www.uline.com/BL_4572/Lab-Cabinet-Workbenches" TargetMode="External" Id="R53541706935d495d" /><Relationship Type="http://schemas.openxmlformats.org/officeDocument/2006/relationships/hyperlink" Target="https://www.thermofisher.com/us/en/home/industrial/spectroscopy-elemental-isotope-analysis/molecular-spectroscopy/uv-vis-spectrophotometry/instruments/evolution-uv-vis-spectrophotometer.html" TargetMode="External" Id="Rb4d43cf610394566" /><Relationship Type="http://schemas.openxmlformats.org/officeDocument/2006/relationships/hyperlink" Target="https://rudolphresearch.com/products/polarimeters/autopol-i/" TargetMode="External" Id="R00b83e06e5504166" /><Relationship Type="http://schemas.openxmlformats.org/officeDocument/2006/relationships/hyperlink" Target="https://www.hunterlab.com/en/products/benchtop-spectrophotometers/colorflex-ez/" TargetMode="External" Id="R5b2051a20f594dce" /><Relationship Type="http://schemas.openxmlformats.org/officeDocument/2006/relationships/hyperlink" Target="https://www.copleyscientific.com/pharmaceutical-testing/powder-testing/tapped-density-jvi-series/" TargetMode="External" Id="R020447df315545ea" /><Relationship Type="http://schemas.openxmlformats.org/officeDocument/2006/relationships/hyperlink" Target="https://www.thermofisher.com/order/catalog/product/51028112" TargetMode="External" Id="R82c438ad632043c4" /><Relationship Type="http://schemas.openxmlformats.org/officeDocument/2006/relationships/hyperlink" Target="https://www.thermofisher.com/order/catalog/product/F6010" TargetMode="External" Id="R395544e9595544d6" /><Relationship Type="http://schemas.openxmlformats.org/officeDocument/2006/relationships/hyperlink" Target="https://www.leco.com/products/828-series/" TargetMode="External" Id="R14d46fa1ac7d41ac" /><Relationship Type="http://schemas.openxmlformats.org/officeDocument/2006/relationships/hyperlink" Target="https://www.velp.com/en-ww/fiwe-fiber-analyzers.aspx" TargetMode="External" Id="Ra95730b135364d45" /><Relationship Type="http://schemas.openxmlformats.org/officeDocument/2006/relationships/hyperlink" Target="https://sykam.com/product/amino-acid-analyzers/s-433-amino-acid-analyzer/" TargetMode="External" Id="Re7ec6638eed046e6" /><Relationship Type="http://schemas.openxmlformats.org/officeDocument/2006/relationships/hyperlink" Target="https://www.fritsch-international.com/sample-preparation/milling/cutting-mills/details/product/pulverisette-19-50-700-rpm/technical-details/" TargetMode="External" Id="R14a663868eab44a0" /><Relationship Type="http://schemas.openxmlformats.org/officeDocument/2006/relationships/hyperlink" Target="https://www.fossanalytics.com/en/products/ct-293-cyclotec" TargetMode="External" Id="Rcae118027bfa4be3" /><Relationship Type="http://schemas.openxmlformats.org/officeDocument/2006/relationships/hyperlink" Target="https://www.retsch.com/products/assisting/sample-divider/pt-100/" TargetMode="External" Id="R0c8d6b577be24904" /><Relationship Type="http://schemas.openxmlformats.org/officeDocument/2006/relationships/hyperlink" Target="https://www.retsch.com/products/sieving/sieve-shakers/as-200-basic" TargetMode="External" Id="R931dadd085c3485f" /><Relationship Type="http://schemas.openxmlformats.org/officeDocument/2006/relationships/hyperlink" Target="https://www.mt.com/us/en/home/products/Laboratory_Weighing_Solutions/analytical-balances.html" TargetMode="External" Id="R91763039abbd4340" /><Relationship Type="http://schemas.openxmlformats.org/officeDocument/2006/relationships/hyperlink" Target="https://www.labfriend.de/mettler-toledo-analytical-balance-ma204" TargetMode="External" Id="R6f9c9f6259f240c3" /><Relationship Type="http://schemas.openxmlformats.org/officeDocument/2006/relationships/table" Target="/xl/tables/table4.xml" Id="R32537c1035204a55"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28" customWidth="1"/>
    <x:col min="3" max="3" width="18" customWidth="1"/>
    <x:col min="4" max="4" width="18" customWidth="1"/>
    <x:col min="5" max="5" width="18" customWidth="1"/>
    <x:col min="6" max="6" width="18" customWidth="1"/>
    <x:col min="7" max="7" width="18" customWidth="1"/>
    <x:col min="8" max="8" width="18" customWidth="1"/>
  </x:cols>
  <x:sheetData>
    <x:row r="1" ht="28" customHeight="1">
      <x:c r="A1" s="1" t="inlineStr">
        <x:is>
          <x:t xml:space="preserve">AIT DDGS - Scenario B SmartDraw Object Schedule v01</x:t>
        </x:is>
      </x:c>
    </x:row>
    <x:row r="3" ht="30" customHeight="1">
      <x:c r="A3" s="2" t="inlineStr">
        <x:is>
          <x:t xml:space="preserve">Purpose</x:t>
        </x:is>
      </x:c>
      <x:c r="B3" s="3" t="inlineStr">
        <x:is>
          <x:t xml:space="preserve">Pre-size the Scenario B equipment, furniture, utility and clearance objects before Codex draws them in SmartDraw.</x:t>
        </x:is>
      </x:c>
    </x:row>
    <x:row r="4" ht="30" customHeight="1"/>
    <x:row r="5" ht="30" customHeight="1">
      <x:c r="A5" t="inlineStr">
        <x:is>
          <x:t xml:space="preserve">Primary scenario</x:t>
        </x:is>
      </x:c>
      <x:c r="B5" t="inlineStr">
        <x:is>
          <x:t xml:space="preserve">B - Gafta strict/lower capital (primary focus)</x:t>
        </x:is>
      </x:c>
    </x:row>
    <x:row r="6" ht="30" customHeight="1">
      <x:c r="A6" t="inlineStr">
        <x:is>
          <x:t xml:space="preserve">Frozen SmartDraw base</x:t>
        </x:is>
      </x:c>
      <x:c r="B6" t="inlineStr">
        <x:is>
          <x:t xml:space="preserve">AIT_DDGS_Future_Space_v02_MASTER.sdr</x:t>
        </x:is>
      </x:c>
    </x:row>
    <x:row r="7" ht="30" customHeight="1">
      <x:c r="A7" t="inlineStr">
        <x:is>
          <x:t xml:space="preserve">Drawing scale</x:t>
        </x:is>
      </x:c>
      <x:c r="B7" t="inlineStr">
        <x:is>
          <x:t xml:space="preserve">1/8 in = 1 ft</x:t>
        </x:is>
      </x:c>
    </x:row>
    <x:row r="8" ht="30" customHeight="1">
      <x:c r="A8" t="inlineStr">
        <x:is>
          <x:t xml:space="preserve">Schedule version date</x:t>
        </x:is>
      </x:c>
      <x:c r="B8" t="inlineStr">
        <x:is>
          <x:t xml:space="preserve">2026-08-09</x:t>
        </x:is>
      </x:c>
    </x:row>
    <x:row r="9" ht="30" customHeight="1">
      <x:c r="A9" t="inlineStr">
        <x:is>
          <x:t xml:space="preserve">Source workbook</x:t>
        </x:is>
      </x:c>
      <x:c r="B9" t="inlineStr">
        <x:is>
          <x:t xml:space="preserve">DDGS_instrument_options_GAFTA_strict_v3.xlsx</x:t>
        </x:is>
      </x:c>
    </x:row>
    <x:row r="10" ht="30" customHeight="1"/>
    <x:row r="11" ht="30" customHeight="1">
      <x:c r="A11" s="2" t="inlineStr">
        <x:is>
          <x:t xml:space="preserve">How to use the dimensions</x:t>
        </x:is>
      </x:c>
    </x:row>
    <x:row r="12" ht="30" customHeight="1">
      <x:c r="A12" s="4" t="inlineStr">
        <x:is>
          <x:t xml:space="preserve">Actual body W/D/H</x:t>
        </x:is>
      </x:c>
      <x:c r="B12" s="3" t="inlineStr">
        <x:is>
          <x:t xml:space="preserve">Published or otherwise sourced instrument body dimensions where available.</x:t>
        </x:is>
      </x:c>
    </x:row>
    <x:row r="13" ht="30" customHeight="1">
      <x:c r="A13" s="4" t="inlineStr">
        <x:is>
          <x:t xml:space="preserve">SmartDraw block W/D</x:t>
        </x:is>
      </x:c>
      <x:c r="B13" s="3" t="inlineStr">
        <x:is>
          <x:t xml:space="preserve">Rounded top-view rectangle Codex should draw for the physical object. Labels may be separate if they do not fit.</x:t>
        </x:is>
      </x:c>
    </x:row>
    <x:row r="14" ht="30" customHeight="1">
      <x:c r="A14" s="4" t="inlineStr">
        <x:is>
          <x:t xml:space="preserve">Planning envelope W/D</x:t>
        </x:is>
      </x:c>
      <x:c r="B14" s="3" t="inlineStr">
        <x:is>
          <x:t xml:space="preserve">Dashed movable clearance/service/work rectangle. It is not the same as the equipment body.</x:t>
        </x:is>
      </x:c>
    </x:row>
    <x:row r="15" ht="30" customHeight="1">
      <x:c r="A15" s="4" t="inlineStr">
        <x:is>
          <x:t xml:space="preserve">Floor area counted</x:t>
        </x:is>
      </x:c>
      <x:c r="B15" s="3" t="inlineStr">
        <x:is>
          <x:t xml:space="preserve">Only furniture, hoods, fixtures, storage and floor utilities marked Yes are included in the floor-footprint summary. Equipment and clearance overlays are not added again.</x:t>
        </x:is>
      </x:c>
    </x:row>
    <x:row r="16" ht="30" customHeight="1">
      <x:c r="A16" s="4" t="inlineStr">
        <x:is>
          <x:t xml:space="preserve">Required</x:t>
        </x:is>
      </x:c>
      <x:c r="B16" s="3" t="inlineStr">
        <x:is>
          <x:t xml:space="preserve">Create and place in the first Scenario B layout, subject to the stated location decision.</x:t>
        </x:is>
      </x:c>
    </x:row>
    <x:row r="17" ht="30" customHeight="1">
      <x:c r="A17" s="4" t="inlineStr">
        <x:is>
          <x:t xml:space="preserve">Conditional</x:t>
        </x:is>
      </x:c>
      <x:c r="B17" s="3" t="inlineStr">
        <x:is>
          <x:t xml:space="preserve">Create on the object-library page, but do not place in B1 unless explicitly approved or required by fit.</x:t>
        </x:is>
      </x:c>
    </x:row>
    <x:row r="18" ht="30" customHeight="1">
      <x:c r="A18" s="4" t="inlineStr">
        <x:is>
          <x:t xml:space="preserve">Reference only</x:t>
        </x:is>
      </x:c>
      <x:c r="B18" s="3" t="inlineStr">
        <x:is>
          <x:t xml:space="preserve">Do not create a physical Room 114 equipment block.</x:t>
        </x:is>
      </x:c>
    </x:row>
    <x:row r="19" ht="30" customHeight="1"/>
    <x:row r="20" ht="30" customHeight="1"/>
    <x:row r="21" ht="30" customHeight="1">
      <x:c r="A21" s="2" t="inlineStr">
        <x:is>
          <x:t xml:space="preserve">Fixed project rules</x:t>
        </x:is>
      </x:c>
    </x:row>
    <x:row r="22" ht="30" customHeight="1">
      <x:c r="A22" t="n">
        <x:v>1</x:v>
      </x:c>
      <x:c r="B22" s="3" t="inlineStr">
        <x:is>
          <x:t xml:space="preserve">Scenario B is the only scenario to draw in this phase. B1 is the first layout; B2/B3 should wait for audit unless expressly requested.</x:t>
        </x:is>
      </x:c>
    </x:row>
    <x:row r="23" ht="30" customHeight="1">
      <x:c r="A23" t="n">
        <x:v>2</x:v>
      </x:c>
      <x:c r="B23" s="3" t="inlineStr">
        <x:is>
          <x:t xml:space="preserve">Do not revisit doors, architectural calibration, room labels, surrounding-room labels or unrelated dimensions.</x:t>
        </x:is>
      </x:c>
    </x:row>
    <x:row r="24" ht="30" customHeight="1">
      <x:c r="A24" t="n">
        <x:v>3</x:v>
      </x:c>
      <x:c r="B24" s="3" t="inlineStr">
        <x:is>
          <x:t xml:space="preserve">Sample receiving/intake is shared with the existing lab and is not placed in Room 114.</x:t>
        </x:is>
      </x:c>
    </x:row>
    <x:row r="25" ht="30" customHeight="1">
      <x:c r="A25" t="n">
        <x:v>4</x:v>
      </x:c>
      <x:c r="B25" s="3" t="inlineStr">
        <x:is>
          <x:t xml:space="preserve">Existing LCMS-8040RX, ICP-OES and Multiwave 5000 remain outside Room 114. Use only an aliquot-handoff arrow if useful.</x:t>
        </x:is>
      </x:c>
    </x:row>
    <x:row r="26" ht="30" customHeight="1">
      <x:c r="A26" t="n">
        <x:v>5</x:v>
      </x:c>
      <x:c r="B26" s="3" t="inlineStr">
        <x:is>
          <x:t xml:space="preserve">The curved southwest and long south walls are window walls. Benches may be near them, but do not assume wall power/data/plumbing/gas.</x:t>
        </x:is>
      </x:c>
    </x:row>
    <x:row r="27" ht="30" customHeight="1">
      <x:c r="A27" t="n">
        <x:v>6</x:v>
      </x:c>
      <x:c r="B27" s="3" t="inlineStr">
        <x:is>
          <x:t xml:space="preserve">The east-side annotated plumbing zone is the wash-station and branch-utility origin. Exact fixtures and routing remain field/MEP decisions.</x:t>
        </x:is>
      </x:c>
    </x:row>
    <x:row r="28" ht="30" customHeight="1">
      <x:c r="A28" t="n">
        <x:v>7</x:v>
      </x:c>
      <x:c r="B28" s="3" t="inlineStr">
        <x:is>
          <x:t xml:space="preserve">Create every table, instrument, computer block, utility symbol and clearance envelope as a separate native, movable SmartDraw object.</x:t>
        </x:is>
      </x:c>
    </x:row>
    <x:row r="29" ht="30" customHeight="1">
      <x:c r="A29" t="n">
        <x:v>8</x:v>
      </x:c>
      <x:c r="B29" s="3" t="inlineStr">
        <x:is>
          <x:t xml:space="preserve">Do not research or invent missing dimensions during the SmartDraw run. Use the provisional values and VERIFY labels in this schedule.</x:t>
        </x:is>
      </x:c>
    </x:row>
    <x:row r="30" ht="30" customHeight="1">
      <x:c r="A30" t="n">
        <x:v>9</x:v>
      </x:c>
      <x:c r="B30" s="3" t="inlineStr">
        <x:is>
          <x:t xml:space="preserve">Do not shrink objects or aisles to force a fit. Report conflicts and leave optional objects parked on the library page.</x:t>
        </x:is>
      </x:c>
    </x:row>
    <x:row r="31" ht="30" customHeight="1"/>
    <x:row r="32" ht="30" customHeight="1"/>
    <x:row r="33" ht="30" customHeight="1">
      <x:c r="A33" s="2" t="inlineStr">
        <x:is>
          <x:t xml:space="preserve">Color legend</x:t>
        </x:is>
      </x:c>
    </x:row>
    <x:row r="34" ht="30" customHeight="1">
      <x:c r="A34" s="5" t="inlineStr">
        <x:is>
          <x:t xml:space="preserve">Imported/source-verified</x:t>
        </x:is>
      </x:c>
    </x:row>
    <x:row r="35" ht="30" customHeight="1">
      <x:c r="A35" s="6" t="inlineStr">
        <x:is>
          <x:t xml:space="preserve">Static planning constant</x:t>
        </x:is>
      </x:c>
    </x:row>
    <x:row r="36" ht="30" customHeight="1">
      <x:c r="A36" s="7" t="inlineStr">
        <x:is>
          <x:t xml:space="preserve">Review / OEM / field verify</x:t>
        </x:is>
      </x:c>
    </x:row>
    <x:row r="37" ht="30" customHeight="1">
      <x:c r="A37" s="8" t="inlineStr">
        <x:is>
          <x:t xml:space="preserve">Conditional / unresolved</x:t>
        </x:is>
      </x:c>
    </x:row>
    <x:row r="38" ht="30" customHeight="1">
      <x:c r="A38" s="9" t="inlineStr">
        <x:is>
          <x:t xml:space="preserve">Control / workflow rule</x:t>
        </x:is>
      </x:c>
    </x:row>
    <x:row r="39" ht="30" customHeight="1"/>
    <x:row r="40" ht="30" customHeight="1"/>
    <x:row r="41" ht="30" customHeight="1"/>
    <x:row r="42" ht="30" customHeight="1"/>
    <x:row r="43" ht="30" customHeight="1"/>
    <x:row r="44" ht="30" customHeight="1"/>
  </x:sheetData>
  <x:mergeCells>
    <x:mergeCell ref="A37:C37"/>
    <x:mergeCell ref="B24:H24"/>
    <x:mergeCell ref="B30:H30"/>
    <x:mergeCell ref="B15:H15"/>
    <x:mergeCell ref="A1:H1"/>
    <x:mergeCell ref="B26:H26"/>
    <x:mergeCell ref="B16:H16"/>
    <x:mergeCell ref="B25:H25"/>
    <x:mergeCell ref="A35:C35"/>
    <x:mergeCell ref="B3:H3"/>
    <x:mergeCell ref="A38:C38"/>
    <x:mergeCell ref="B22:H22"/>
    <x:mergeCell ref="B18:H18"/>
    <x:mergeCell ref="B27:H27"/>
    <x:mergeCell ref="B12:H12"/>
    <x:mergeCell ref="A34:C34"/>
    <x:mergeCell ref="B23:H23"/>
    <x:mergeCell ref="B14:H14"/>
    <x:mergeCell ref="A36:C36"/>
    <x:mergeCell ref="B17:H17"/>
    <x:mergeCell ref="B13:H13"/>
    <x:mergeCell ref="B29:H29"/>
    <x:mergeCell ref="B28: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customWidth="1"/>
    <x:col min="2" max="2" width="25" customWidth="1"/>
    <x:col min="3" max="3" width="55" customWidth="1"/>
    <x:col min="4" max="4" width="14" customWidth="1"/>
    <x:col min="5" max="5" width="30" customWidth="1"/>
    <x:col min="6" max="6" width="20" customWidth="1"/>
    <x:col min="7" max="7" width="20" customWidth="1"/>
    <x:col min="8" max="8" width="20" customWidth="1"/>
  </x:cols>
  <x:sheetData>
    <x:row r="1" ht="28" customHeight="1">
      <x:c r="A1" s="1" t="inlineStr">
        <x:is>
          <x:t xml:space="preserve">Scenario B Schedule Summary and Controls</x:t>
        </x:is>
      </x:c>
    </x:row>
    <x:row r="2" ht="28" customHeight="1"/>
    <x:row r="3" ht="28" customHeight="1">
      <x:c r="A3" s="10" t="inlineStr">
        <x:is>
          <x:t xml:space="preserve">Control</x:t>
        </x:is>
      </x:c>
      <x:c r="B3" s="10" t="inlineStr">
        <x:is>
          <x:t xml:space="preserve">Value</x:t>
        </x:is>
      </x:c>
    </x:row>
    <x:row r="4" ht="28" customHeight="1">
      <x:c r="A4" s="4" t="inlineStr">
        <x:is>
          <x:t xml:space="preserve">Scenario</x:t>
        </x:is>
      </x:c>
      <x:c r="B4" s="11" t="inlineStr">
        <x:is>
          <x:t xml:space="preserve">B - Gafta strict/lower capital</x:t>
        </x:is>
      </x:c>
    </x:row>
    <x:row r="5" ht="28" customHeight="1">
      <x:c r="A5" s="4" t="inlineStr">
        <x:is>
          <x:t xml:space="preserve">Base file</x:t>
        </x:is>
      </x:c>
      <x:c r="B5" s="11" t="inlineStr">
        <x:is>
          <x:t xml:space="preserve">AIT_DDGS_Future_Space_v02_MASTER.sdr</x:t>
        </x:is>
      </x:c>
    </x:row>
    <x:row r="6" ht="28" customHeight="1">
      <x:c r="A6" s="4" t="inlineStr">
        <x:is>
          <x:t xml:space="preserve">Scale</x:t>
        </x:is>
      </x:c>
      <x:c r="B6" s="11" t="inlineStr">
        <x:is>
          <x:t xml:space="preserve">1/8 in = 1 ft</x:t>
        </x:is>
      </x:c>
    </x:row>
    <x:row r="7" ht="28" customHeight="1">
      <x:c r="A7" s="4" t="inlineStr">
        <x:is>
          <x:t xml:space="preserve">First drawing target</x:t>
        </x:is>
      </x:c>
      <x:c r="B7" s="11" t="inlineStr">
        <x:is>
          <x:t xml:space="preserve">B1 - Utility spine + central clean/instrument arrangement</x:t>
        </x:is>
      </x:c>
    </x:row>
    <x:row r="8" ht="28" customHeight="1">
      <x:c r="A8" s="4" t="inlineStr">
        <x:is>
          <x:t xml:space="preserve">Architecture status</x:t>
        </x:is>
      </x:c>
      <x:c r="B8" s="11" t="inlineStr">
        <x:is>
          <x:t xml:space="preserve">Frozen for equipment planning; do not reopen doors/labels/dimension cleanup</x:t>
        </x:is>
      </x:c>
    </x:row>
    <x:row r="9" ht="28" customHeight="1"/>
    <x:row r="10" ht="28" customHeight="1"/>
    <x:row r="11" ht="28" customHeight="1">
      <x:c r="A11" s="10" t="inlineStr">
        <x:is>
          <x:t xml:space="preserve">Schedule KPI</x:t>
        </x:is>
      </x:c>
      <x:c r="B11" s="10" t="inlineStr">
        <x:is>
          <x:t xml:space="preserve">Formula result</x:t>
        </x:is>
      </x:c>
      <x:c r="C11" s="10" t="inlineStr">
        <x:is>
          <x:t xml:space="preserve">Interpretation</x:t>
        </x:is>
      </x:c>
      <x:c r="D11" s="12" t="inlineStr">
        <x:is>
          <x:t xml:space="preserve">Highest-priority unresolved inputs</x:t>
        </x:is>
      </x:c>
    </x:row>
    <x:row r="12" ht="28" customHeight="1">
      <x:c r="A12" t="inlineStr">
        <x:is>
          <x:t xml:space="preserve">Schedule rows</x:t>
        </x:is>
      </x:c>
      <x:c r="B12" s="13" t="n">
        <x:f>COUNTA('Object Schedule'!A5:A78)</x:f>
        <x:v>74</x:v>
      </x:c>
      <x:c r="C12" s="14" t="inlineStr">
        <x:is>
          <x:t xml:space="preserve">All equipment, furniture, utilities, references and templates.</x:t>
        </x:is>
      </x:c>
      <x:c r="D12" s="7" t="inlineStr">
        <x:is>
          <x:t xml:space="preserve">REVIEW</x:t>
        </x:is>
      </x:c>
      <x:c r="E12" s="3" t="inlineStr">
        <x:is>
          <x:t xml:space="preserve">LECO configured footprint, service clearances, exhaust and gas plan.</x:t>
        </x:is>
      </x:c>
    </x:row>
    <x:row r="13" ht="28" customHeight="1">
      <x:c r="A13" t="inlineStr">
        <x:is>
          <x:t xml:space="preserve">Required quantity</x:t>
        </x:is>
      </x:c>
      <x:c r="B13" s="13" t="n">
        <x:f>SUM('Object Schedule'!E5,'Object Schedule'!E6,'Object Schedule'!E7,'Object Schedule'!E8,'Object Schedule'!E9,'Object Schedule'!E10,'Object Schedule'!E11,'Object Schedule'!E12,'Object Schedule'!E13,'Object Schedule'!E14,'Object Schedule'!E15,'Object Schedule'!E16,'Object Schedule'!E17,'Object Schedule'!E18,'Object Schedule'!E19,'Object Schedule'!E20,'Object Schedule'!E21,'Object Schedule'!E23,'Object Schedule'!E24,'Object Schedule'!E25,'Object Schedule'!E26,'Object Schedule'!E27,'Object Schedule'!E28,'Object Schedule'!E29,'Object Schedule'!E30,'Object Schedule'!E31,'Object Schedule'!E32,'Object Schedule'!E33,'Object Schedule'!E34,'Object Schedule'!E35,'Object Schedule'!E36,'Object Schedule'!E37,'Object Schedule'!E38,'Object Schedule'!E39,'Object Schedule'!E40,'Object Schedule'!E41,'Object Schedule'!E42,'Object Schedule'!E43,'Object Schedule'!E44,'Object Schedule'!E45,'Object Schedule'!E46,'Object Schedule'!E47,'Object Schedule'!E48,'Object Schedule'!E49,'Object Schedule'!E50,'Object Schedule'!E51,'Object Schedule'!E52,'Object Schedule'!E53,'Object Schedule'!E54,'Object Schedule'!E55,'Object Schedule'!E56,'Object Schedule'!E57,'Object Schedule'!E58,'Object Schedule'!E59,'Object Schedule'!E60,'Object Schedule'!E61,'Object Schedule'!E67,'Object Schedule'!E68,'Object Schedule'!E69,'Object Schedule'!E70,'Object Schedule'!E71,'Object Schedule'!E73)</x:f>
        <x:v>62</x:v>
      </x:c>
      <x:c r="C13" s="14" t="inlineStr">
        <x:is>
          <x:t xml:space="preserve">Includes required and required-location-decision rows.</x:t>
        </x:is>
      </x:c>
      <x:c r="D13" s="7" t="inlineStr">
        <x:is>
          <x:t xml:space="preserve">REVIEW</x:t>
        </x:is>
      </x:c>
      <x:c r="E13" s="3" t="inlineStr">
        <x:is>
          <x:t xml:space="preserve">Whether the LECO-quoted Sartorius balance is retained in addition to the two MA204 balances.</x:t>
        </x:is>
      </x:c>
    </x:row>
    <x:row r="14" ht="28" customHeight="1">
      <x:c r="A14" t="inlineStr">
        <x:is>
          <x:t xml:space="preserve">Conditional quantity</x:t>
        </x:is>
      </x:c>
      <x:c r="B14" s="13" t="n">
        <x:f>SUM('Object Schedule'!E22,'Object Schedule'!E62,'Object Schedule'!E63,'Object Schedule'!E64,'Object Schedule'!E72,'Object Schedule'!E74)</x:f>
        <x:v>6</x:v>
      </x:c>
      <x:c r="C14" s="14" t="inlineStr">
        <x:is>
          <x:t xml:space="preserve">Create on library page; normally do not place in B1.</x:t>
        </x:is>
      </x:c>
      <x:c r="D14" s="7" t="inlineStr">
        <x:is>
          <x:t xml:space="preserve">REVIEW</x:t>
        </x:is>
      </x:c>
      <x:c r="E14" s="3" t="inlineStr">
        <x:is>
          <x:t xml:space="preserve">Sykam configured module list, overall footprint, reagent/waste/cold-storage plan and site guide.</x:t>
        </x:is>
      </x:c>
    </x:row>
    <x:row r="15" ht="28" customHeight="1">
      <x:c r="A15" t="inlineStr">
        <x:is>
          <x:t xml:space="preserve">Required counted floor footprint (sq ft)</x:t>
        </x:is>
      </x:c>
      <x:c r="B15" s="13" t="n">
        <x:f>SUM('Object Schedule'!AD5,'Object Schedule'!AD6,'Object Schedule'!AD7,'Object Schedule'!AD8,'Object Schedule'!AD9,'Object Schedule'!AD10,'Object Schedule'!AD11,'Object Schedule'!AD12,'Object Schedule'!AD13,'Object Schedule'!AD14,'Object Schedule'!AD15,'Object Schedule'!AD16,'Object Schedule'!AD17,'Object Schedule'!AD18,'Object Schedule'!AD19,'Object Schedule'!AD20,'Object Schedule'!AD21,'Object Schedule'!AD23,'Object Schedule'!AD24,'Object Schedule'!AD25,'Object Schedule'!AD26,'Object Schedule'!AD27,'Object Schedule'!AD28,'Object Schedule'!AD29,'Object Schedule'!AD30,'Object Schedule'!AD31,'Object Schedule'!AD32,'Object Schedule'!AD33,'Object Schedule'!AD34,'Object Schedule'!AD35,'Object Schedule'!AD36,'Object Schedule'!AD37,'Object Schedule'!AD38,'Object Schedule'!AD39,'Object Schedule'!AD40,'Object Schedule'!AD41,'Object Schedule'!AD42,'Object Schedule'!AD43,'Object Schedule'!AD44,'Object Schedule'!AD45,'Object Schedule'!AD46,'Object Schedule'!AD47,'Object Schedule'!AD48,'Object Schedule'!AD49,'Object Schedule'!AD50,'Object Schedule'!AD51,'Object Schedule'!AD52,'Object Schedule'!AD53,'Object Schedule'!AD54,'Object Schedule'!AD55,'Object Schedule'!AD56,'Object Schedule'!AD57,'Object Schedule'!AD58,'Object Schedule'!AD59,'Object Schedule'!AD60,'Object Schedule'!AD61,'Object Schedule'!AD67,'Object Schedule'!AD68,'Object Schedule'!AD69,'Object Schedule'!AD70,'Object Schedule'!AD71,'Object Schedule'!AD73)</x:f>
        <x:v>309</x:v>
      </x:c>
      <x:c r="C15" s="14" t="inlineStr">
        <x:is>
          <x:t xml:space="preserve">Furniture/fixtures/storage/floor utilities only; equipment overlays are not double-counted.</x:t>
        </x:is>
      </x:c>
      <x:c r="D15" s="7" t="inlineStr">
        <x:is>
          <x:t xml:space="preserve">REVIEW</x:t>
        </x:is>
      </x:c>
      <x:c r="E15" s="3" t="inlineStr">
        <x:is>
          <x:t xml:space="preserve">Conventional Soxhlet extraction-position count, hood width, condenser-water approach and solvent recovery.</x:t>
        </x:is>
      </x:c>
    </x:row>
    <x:row r="16" ht="28" customHeight="1">
      <x:c r="A16" t="inlineStr">
        <x:is>
          <x:t xml:space="preserve">Conditional counted floor footprint (sq ft)</x:t>
        </x:is>
      </x:c>
      <x:c r="B16" s="13" t="n">
        <x:f>SUM('Object Schedule'!AD22,'Object Schedule'!AD62,'Object Schedule'!AD63,'Object Schedule'!AD64,'Object Schedule'!AD72,'Object Schedule'!AD74)</x:f>
        <x:v>44</x:v>
      </x:c>
      <x:c r="C16" s="14" t="inlineStr">
        <x:is>
          <x:t xml:space="preserve">Optional area if all conditional floor objects were placed.</x:t>
        </x:is>
      </x:c>
      <x:c r="D16" s="7" t="inlineStr">
        <x:is>
          <x:t xml:space="preserve">REVIEW</x:t>
        </x:is>
      </x:c>
      <x:c r="E16" s="3" t="inlineStr">
        <x:is>
          <x:t xml:space="preserve">Oven/furnace placement in the existing Drying Room versus Room 114.</x:t>
        </x:is>
      </x:c>
    </x:row>
    <x:row r="17" ht="28" customHeight="1">
      <x:c r="A17" t="inlineStr">
        <x:is>
          <x:t xml:space="preserve">Rows requiring OEM/field review</x:t>
        </x:is>
      </x:c>
      <x:c r="B17" s="13" t="n">
        <x:f>SUM(IF('Object Schedule'!AG5="REVIEW",1,0),IF('Object Schedule'!AG8="REVIEW",1,0),IF('Object Schedule'!AG19="REVIEW",1,0),IF('Object Schedule'!AG20="REVIEW",1,0),IF('Object Schedule'!AG31="REVIEW",1,0),IF('Object Schedule'!AG32="REVIEW",1,0),IF('Object Schedule'!AG33="REVIEW",1,0),IF('Object Schedule'!AG34="REVIEW",1,0),IF('Object Schedule'!AG35="REVIEW",1,0),IF('Object Schedule'!AG36="REVIEW",1,0),IF('Object Schedule'!AG37="REVIEW",1,0),IF('Object Schedule'!AG38="REVIEW",1,0),IF('Object Schedule'!AG39="REVIEW",1,0),IF('Object Schedule'!AG40="REVIEW",1,0),IF('Object Schedule'!AG41="REVIEW",1,0),IF('Object Schedule'!AG42="REVIEW",1,0),IF('Object Schedule'!AG43="REVIEW",1,0),IF('Object Schedule'!AG44="REVIEW",1,0),IF('Object Schedule'!AG45="REVIEW",1,0),IF('Object Schedule'!AG47="REVIEW",1,0),IF('Object Schedule'!AG50="REVIEW",1,0),IF('Object Schedule'!AG53="REVIEW",1,0),IF('Object Schedule'!AG54="REVIEW",1,0),IF('Object Schedule'!AG58="REVIEW",1,0),IF('Object Schedule'!AG59="REVIEW",1,0),IF('Object Schedule'!AG60="REVIEW",1,0),IF('Object Schedule'!AG61="REVIEW",1,0),IF('Object Schedule'!AG64="REVIEW",1,0),IF('Object Schedule'!AG65="REVIEW",1,0),IF('Object Schedule'!AG66="REVIEW",1,0),IF('Object Schedule'!AG67="REVIEW",1,0),IF('Object Schedule'!AG68="REVIEW",1,0),IF('Object Schedule'!AG69="REVIEW",1,0),IF('Object Schedule'!AG70="REVIEW",1,0),IF('Object Schedule'!AG71="REVIEW",1,0),IF('Object Schedule'!AG72="REVIEW",1,0),IF('Object Schedule'!AG73="REVIEW",1,0),IF('Object Schedule'!AG74="REVIEW",1,0),IF('Object Schedule'!AG76="REVIEW",1,0),IF('Object Schedule'!AG77="REVIEW",1,0),IF('Object Schedule'!AG78="REVIEW",1,0))</x:f>
        <x:v>41</x:v>
      </x:c>
      <x:c r="C17" s="14" t="inlineStr">
        <x:is>
          <x:t xml:space="preserve">Prioritize LECO, Sykam, Soxhlet, thermal siting, wash station and utilities.</x:t>
        </x:is>
      </x:c>
      <x:c r="D17" s="7" t="inlineStr">
        <x:is>
          <x:t xml:space="preserve">REVIEW</x:t>
        </x:is>
      </x:c>
      <x:c r="E17" s="3" t="inlineStr">
        <x:is>
          <x:t xml:space="preserve">Selected desiccator models and batch capacity.</x:t>
        </x:is>
      </x:c>
    </x:row>
    <x:row r="18" ht="28" customHeight="1">
      <x:c r="D18" s="7" t="inlineStr">
        <x:is>
          <x:t xml:space="preserve">REVIEW</x:t>
        </x:is>
      </x:c>
      <x:c r="E18" s="3" t="inlineStr">
        <x:is>
          <x:t xml:space="preserve">Wash-station sink, water services, drain/waste compatibility, venting and branch-manifold details.</x:t>
        </x:is>
      </x:c>
    </x:row>
    <x:row r="19" ht="28" customHeight="1">
      <x:c r="D19" s="7" t="inlineStr">
        <x:is>
          <x:t xml:space="preserve">REVIEW</x:t>
        </x:is>
      </x:c>
      <x:c r="E19" s="3" t="inlineStr">
        <x:is>
          <x:t xml:space="preserve">Ceiling-drop feasibility around lights, diffusers, sprinklers, structure and access panels.</x:t>
        </x:is>
      </x:c>
    </x:row>
    <x:row r="20" ht="28" customHeight="1"/>
    <x:row r="21" ht="28" customHeight="1">
      <x:c r="A21" s="10" t="inlineStr">
        <x:is>
          <x:t xml:space="preserve">Required counted floor area by zone</x:t>
        </x:is>
      </x:c>
      <x:c r="B21" s="10" t="inlineStr">
        <x:is>
          <x:t xml:space="preserve">sq ft</x:t>
        </x:is>
      </x:c>
    </x:row>
    <x:row r="22" ht="28" customHeight="1">
      <x:c r="A22" t="inlineStr">
        <x:is>
          <x:t xml:space="preserve">Dirty / noisy prep</x:t>
        </x:is>
      </x:c>
      <x:c r="B22" s="15" t="n">
        <x:f>SUM('Object Schedule'!AD5,'Object Schedule'!AD6,'Object Schedule'!AD7,'Object Schedule'!AD8,'Object Schedule'!AD9,'Object Schedule'!AD10,'Object Schedule'!AD28,'Object Schedule'!AD29,'Object Schedule'!AD30,'Object Schedule'!AD31,'Object Schedule'!AD55,'Object Schedule'!AD60,'Object Schedule'!AD61)</x:f>
        <x:v>64</x:v>
      </x:c>
    </x:row>
    <x:row r="23" ht="28" customHeight="1">
      <x:c r="A23" t="inlineStr">
        <x:is>
          <x:t xml:space="preserve">Wash / utility hub</x:t>
        </x:is>
      </x:c>
      <x:c r="B23" s="15" t="n">
        <x:f>SUM('Object Schedule'!AD32,'Object Schedule'!AD33,'Object Schedule'!AD34,'Object Schedule'!AD35,'Object Schedule'!AD36)</x:f>
        <x:v>24</x:v>
      </x:c>
    </x:row>
    <x:row r="24" ht="28" customHeight="1">
      <x:c r="A24" t="inlineStr">
        <x:is>
          <x:t xml:space="preserve">Wet chemistry / fiber</x:t>
        </x:is>
      </x:c>
      <x:c r="B24" s="15" t="n">
        <x:f>SUM('Object Schedule'!AD24,'Object Schedule'!AD37)</x:f>
        <x:v>18</x:v>
      </x:c>
    </x:row>
    <x:row r="25" ht="28" customHeight="1">
      <x:c r="A25" t="inlineStr">
        <x:is>
          <x:t xml:space="preserve">Solvent extraction</x:t>
        </x:is>
      </x:c>
      <x:c r="B25" s="15" t="n">
        <x:f>SUM('Object Schedule'!AD23,'Object Schedule'!AD38,'Object Schedule'!AD39,'Object Schedule'!AD40)</x:f>
        <x:v>34</x:v>
      </x:c>
    </x:row>
    <x:row r="26" ht="28" customHeight="1">
      <x:c r="A26" t="inlineStr">
        <x:is>
          <x:t xml:space="preserve">Wet chemistry / acid prep</x:t>
        </x:is>
      </x:c>
      <x:c r="B26" s="15" t="n">
        <x:f>SUM('Object Schedule'!AD26,'Object Schedule'!AD41,'Object Schedule'!AD42,'Object Schedule'!AD43,'Object Schedule'!AD68)</x:f>
        <x:v>28</x:v>
      </x:c>
    </x:row>
    <x:row r="27" ht="28" customHeight="1">
      <x:c r="A27" t="inlineStr">
        <x:is>
          <x:t xml:space="preserve">Thermal / gravimetric</x:t>
        </x:is>
      </x:c>
      <x:c r="B27" s="15" t="n">
        <x:f>SUM('Object Schedule'!AD15,'Object Schedule'!AD17,'Object Schedule'!AD18,'Object Schedule'!AD19,'Object Schedule'!AD20,'Object Schedule'!AD44,'Object Schedule'!AD45,'Object Schedule'!AD46,'Object Schedule'!AD47)</x:f>
        <x:v>35</x:v>
      </x:c>
    </x:row>
    <x:row r="28" ht="28" customHeight="1">
      <x:c r="A28" t="inlineStr">
        <x:is>
          <x:t xml:space="preserve">Clean general analysis</x:t>
        </x:is>
      </x:c>
      <x:c r="B28" s="15" t="n">
        <x:f>SUM('Object Schedule'!AD11,'Object Schedule'!AD12,'Object Schedule'!AD13,'Object Schedule'!AD14,'Object Schedule'!AD16,'Object Schedule'!AD48,'Object Schedule'!AD49,'Object Schedule'!AD50,'Object Schedule'!AD57)</x:f>
        <x:v>44</x:v>
      </x:c>
    </x:row>
    <x:row r="29" ht="28" customHeight="1">
      <x:c r="A29" t="inlineStr">
        <x:is>
          <x:t xml:space="preserve">Clean instrument</x:t>
        </x:is>
      </x:c>
      <x:c r="B29" s="15" t="n">
        <x:f>SUM('Object Schedule'!AD21,'Object Schedule'!AD25,'Object Schedule'!AD51,'Object Schedule'!AD52,'Object Schedule'!AD58,'Object Schedule'!AD59,'Object Schedule'!AD67,'Object Schedule'!AD73)</x:f>
        <x:v>48</x:v>
      </x:c>
    </x:row>
    <x:row r="30" ht="28" customHeight="1">
      <x:c r="A30" t="inlineStr">
        <x:is>
          <x:t xml:space="preserve">Clean / wet support</x:t>
        </x:is>
      </x:c>
      <x:c r="B30" s="15" t="n">
        <x:f>SUM('Object Schedule'!AD53)</x:f>
        <x:v>6</x:v>
      </x:c>
    </x:row>
    <x:row r="31" ht="28" customHeight="1">
      <x:c r="A31" t="inlineStr">
        <x:is>
          <x:t xml:space="preserve">General support</x:t>
        </x:is>
      </x:c>
      <x:c r="B31" s="15" t="n">
        <x:f>SUM('Object Schedule'!AD54)</x:f>
        <x:v>8</x:v>
      </x:c>
    </x:row>
    <x:row r="32" ht="28" customHeight="1"/>
    <x:row r="33" ht="28" customHeight="1"/>
    <x:row r="34" ht="28" customHeight="1"/>
    <x:row r="35" ht="28" customHeight="1"/>
    <x:row r="36" ht="28" customHeight="1"/>
    <x:row r="37" ht="28" customHeight="1"/>
    <x:row r="38" ht="28" customHeight="1"/>
    <x:row r="39" ht="28" customHeight="1"/>
  </x:sheetData>
  <x:mergeCells>
    <x:mergeCell ref="E14:H14"/>
    <x:mergeCell ref="E17:H17"/>
    <x:mergeCell ref="E18:H18"/>
    <x:mergeCell ref="E12:H12"/>
    <x:mergeCell ref="D11:H11"/>
    <x:mergeCell ref="E16:H16"/>
    <x:mergeCell ref="E15:H15"/>
    <x:mergeCell ref="A1:H1"/>
    <x:mergeCell ref="E19:H19"/>
    <x:mergeCell ref="E13:H1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1" customWidth="1"/>
    <x:col min="2" max="2" width="20" customWidth="1"/>
    <x:col min="3" max="3" width="22" customWidth="1"/>
    <x:col min="4" max="4" width="34" customWidth="1"/>
    <x:col min="5" max="5" width="7" customWidth="1"/>
    <x:col min="6" max="6" width="42" customWidth="1"/>
    <x:col min="7" max="7" width="42" customWidth="1"/>
    <x:col min="8" max="8" width="14" customWidth="1"/>
    <x:col min="9" max="9" width="14" customWidth="1"/>
    <x:col min="10" max="10" width="12" customWidth="1"/>
    <x:col min="11" max="11" width="17" customWidth="1"/>
    <x:col min="12" max="12" width="17" customWidth="1"/>
    <x:col min="13" max="13" width="18" customWidth="1"/>
    <x:col min="14" max="14" width="18" customWidth="1"/>
    <x:col min="15" max="15" width="24" customWidth="1"/>
    <x:col min="16" max="16" width="48" customWidth="1"/>
    <x:col min="17" max="17" width="38" customWidth="1"/>
    <x:col min="18" max="18" width="38" customWidth="1"/>
    <x:col min="19" max="19" width="30" customWidth="1"/>
    <x:col min="20" max="20" width="38" customWidth="1"/>
    <x:col min="21" max="21" width="48" customWidth="1"/>
    <x:col min="22" max="22" width="34" customWidth="1"/>
    <x:col min="23" max="23" width="38" customWidth="1"/>
    <x:col min="24" max="24" width="42" customWidth="1"/>
    <x:col min="25" max="25" width="60" customWidth="1"/>
    <x:col min="26" max="26" width="28" customWidth="1"/>
    <x:col min="27" max="27" width="17" customWidth="1"/>
    <x:col min="28" max="28" width="15" customWidth="1"/>
    <x:col min="29" max="29" width="17" customWidth="1"/>
    <x:col min="30" max="30" width="21" customWidth="1"/>
    <x:col min="31" max="31" width="15" customWidth="1"/>
    <x:col min="32" max="32" width="12" customWidth="1"/>
    <x:col min="33" max="33" width="13" customWidth="1"/>
  </x:cols>
  <x:sheetData>
    <x:row r="1" ht="30" customHeight="1">
      <x:c r="A1" s="1" t="inlineStr">
        <x:is>
          <x:t xml:space="preserve">Scenario B SmartDraw Object Schedule - Use this sheet as the drawing source of truth</x:t>
        </x:is>
      </x:c>
    </x:row>
    <x:row r="2" ht="42" customHeight="1">
      <x:c r="A2" s="16" t="inlineStr">
        <x:is>
          <x:t xml:space="preserve">Dimensions are inches in top view. Draw each listed object separately. Use the SmartDraw block for the physical rectangle and the planning envelope as a separate dashed rectangle. Do not research missing sizes during the drawing run.</x:t>
        </x:is>
      </x:c>
    </x:row>
    <x:row r="4" ht="52" customHeight="1">
      <x:c r="A4" s="10" t="inlineStr">
        <x:is>
          <x:t xml:space="preserve">Object ID</x:t>
        </x:is>
      </x:c>
      <x:c r="B4" s="10" t="inlineStr">
        <x:is>
          <x:t xml:space="preserve">Object class</x:t>
        </x:is>
      </x:c>
      <x:c r="C4" s="10" t="inlineStr">
        <x:is>
          <x:t xml:space="preserve">Zone</x:t>
        </x:is>
      </x:c>
      <x:c r="D4" s="10" t="inlineStr">
        <x:is>
          <x:t xml:space="preserve">Scenario B status</x:t>
        </x:is>
      </x:c>
      <x:c r="E4" s="10" t="inlineStr">
        <x:is>
          <x:t xml:space="preserve">Qty</x:t>
        </x:is>
      </x:c>
      <x:c r="F4" s="10" t="inlineStr">
        <x:is>
          <x:t xml:space="preserve">SmartDraw label</x:t>
        </x:is>
      </x:c>
      <x:c r="G4" s="10" t="inlineStr">
        <x:is>
          <x:t xml:space="preserve">Vendor / model</x:t>
        </x:is>
      </x:c>
      <x:c r="H4" s="10" t="inlineStr">
        <x:is>
          <x:t xml:space="preserve">Actual body W (in)</x:t>
        </x:is>
      </x:c>
      <x:c r="I4" s="10" t="inlineStr">
        <x:is>
          <x:t xml:space="preserve">Actual body D (in)</x:t>
        </x:is>
      </x:c>
      <x:c r="J4" s="10" t="inlineStr">
        <x:is>
          <x:t xml:space="preserve">Actual H (in)</x:t>
        </x:is>
      </x:c>
      <x:c r="K4" s="10" t="inlineStr">
        <x:is>
          <x:t xml:space="preserve">SmartDraw block W (in)</x:t>
        </x:is>
      </x:c>
      <x:c r="L4" s="10" t="inlineStr">
        <x:is>
          <x:t xml:space="preserve">SmartDraw block D (in)</x:t>
        </x:is>
      </x:c>
      <x:c r="M4" s="10" t="inlineStr">
        <x:is>
          <x:t xml:space="preserve">Planning envelope W (in)</x:t>
        </x:is>
      </x:c>
      <x:c r="N4" s="10" t="inlineStr">
        <x:is>
          <x:t xml:space="preserve">Planning envelope D (in)</x:t>
        </x:is>
      </x:c>
      <x:c r="O4" s="10" t="inlineStr">
        <x:is>
          <x:t xml:space="preserve">Support / furniture ID</x:t>
        </x:is>
      </x:c>
      <x:c r="P4" s="10" t="inlineStr">
        <x:is>
          <x:t xml:space="preserve">Primary association / workflow</x:t>
        </x:is>
      </x:c>
      <x:c r="Q4" s="10" t="inlineStr">
        <x:is>
          <x:t xml:space="preserve">Electrical</x:t>
        </x:is>
      </x:c>
      <x:c r="R4" s="10" t="inlineStr">
        <x:is>
          <x:t xml:space="preserve">Water / drain</x:t>
        </x:is>
      </x:c>
      <x:c r="S4" s="10" t="inlineStr">
        <x:is>
          <x:t xml:space="preserve">Gas</x:t>
        </x:is>
      </x:c>
      <x:c r="T4" s="10" t="inlineStr">
        <x:is>
          <x:t xml:space="preserve">Exhaust / ventilation</x:t>
        </x:is>
      </x:c>
      <x:c r="U4" s="10" t="inlineStr">
        <x:is>
          <x:t xml:space="preserve">Preferred placement</x:t>
        </x:is>
      </x:c>
      <x:c r="V4" s="10" t="inlineStr">
        <x:is>
          <x:t xml:space="preserve">Verification level</x:t>
        </x:is>
      </x:c>
      <x:c r="W4" s="10" t="inlineStr">
        <x:is>
          <x:t xml:space="preserve">Source name</x:t>
        </x:is>
      </x:c>
      <x:c r="X4" s="10" t="inlineStr">
        <x:is>
          <x:t xml:space="preserve">Source URL</x:t>
        </x:is>
      </x:c>
      <x:c r="Y4" s="10" t="inlineStr">
        <x:is>
          <x:t xml:space="preserve">Notes / constraints</x:t>
        </x:is>
      </x:c>
      <x:c r="Z4" s="10" t="inlineStr">
        <x:is>
          <x:t xml:space="preserve">Suggested SmartDraw layer</x:t>
        </x:is>
      </x:c>
      <x:c r="AA4" s="10" t="inlineStr">
        <x:is>
          <x:t xml:space="preserve">Floor area counted?</x:t>
        </x:is>
      </x:c>
      <x:c r="AB4" s="10" t="inlineStr">
        <x:is>
          <x:t xml:space="preserve">Body area (sq ft)</x:t>
        </x:is>
      </x:c>
      <x:c r="AC4" s="10" t="inlineStr">
        <x:is>
          <x:t xml:space="preserve">Envelope area (sq ft)</x:t>
        </x:is>
      </x:c>
      <x:c r="AD4" s="10" t="inlineStr">
        <x:is>
          <x:t xml:space="preserve">Counted floor footprint (sq ft)</x:t>
        </x:is>
      </x:c>
      <x:c r="AE4" s="10" t="inlineStr">
        <x:is>
          <x:t xml:space="preserve">Block area (sq ft)</x:t>
        </x:is>
      </x:c>
      <x:c r="AF4" s="10" t="inlineStr">
        <x:is>
          <x:t xml:space="preserve">Status key</x:t>
        </x:is>
      </x:c>
      <x:c r="AG4" s="10" t="inlineStr">
        <x:is>
          <x:t xml:space="preserve">Review flag</x:t>
        </x:is>
      </x:c>
    </x:row>
    <x:row r="5" ht="64" customHeight="1">
      <x:c r="A5" s="17" t="inlineStr">
        <x:is>
          <x:t xml:space="preserve">B-EQ-PREP01</x:t>
        </x:is>
      </x:c>
      <x:c r="B5" s="17" t="inlineStr">
        <x:is>
          <x:t xml:space="preserve">Equipment</x:t>
        </x:is>
      </x:c>
      <x:c r="C5" s="17" t="inlineStr">
        <x:is>
          <x:t xml:space="preserve">Dirty / noisy prep</x:t>
        </x:is>
      </x:c>
      <x:c r="D5" s="17" t="inlineStr">
        <x:is>
          <x:t xml:space="preserve">Required</x:t>
        </x:is>
      </x:c>
      <x:c r="E5" s="17" t="n">
        <x:v>1</x:v>
      </x:c>
      <x:c r="F5" s="17" t="inlineStr">
        <x:is>
          <x:t xml:space="preserve">PULVERISETTE 19 LOW-SPEED CUTTING MILL</x:t>
        </x:is>
      </x:c>
      <x:c r="G5" s="18" t="inlineStr">
        <x:is>
          <x:t xml:space="preserve">FRITSCH PULVERISETTE 19, 50-700 rpm</x:t>
        </x:is>
      </x:c>
      <x:c r="H5" s="19" t="n">
        <x:v>17.3</x:v>
      </x:c>
      <x:c r="I5" s="19" t="n">
        <x:v>31.1</x:v>
      </x:c>
      <x:c r="J5" s="19" t="n">
        <x:v>22</x:v>
      </x:c>
      <x:c r="K5" s="20" t="n">
        <x:v>18</x:v>
      </x:c>
      <x:c r="L5" s="20" t="n">
        <x:v>32</x:v>
      </x:c>
      <x:c r="M5" s="20" t="n">
        <x:v>48</x:v>
      </x:c>
      <x:c r="N5" s="20" t="n">
        <x:v>48</x:v>
      </x:c>
      <x:c r="O5" s="17" t="inlineStr">
        <x:is>
          <x:t xml:space="preserve">B-T-PREP01</x:t>
        </x:is>
      </x:c>
      <x:c r="P5" s="17" t="inlineStr">
        <x:is>
          <x:t xml:space="preserve">Primary/coarse DDGS grinding before fine grinding and division</x:t>
        </x:is>
      </x:c>
      <x:c r="Q5" s="18" t="inlineStr">
        <x:is>
          <x:t xml:space="preserve">Select exact 100-120 V or 200-240 V configuration; dedicated circuit per final model</x:t>
        </x:is>
      </x:c>
      <x:c r="R5" s="18" t="inlineStr">
        <x:is>
          <x:t xml:space="preserve">None</x:t>
        </x:is>
      </x:c>
      <x:c r="S5" s="18" t="inlineStr">
        <x:is>
          <x:t xml:space="preserve">None</x:t>
        </x:is>
      </x:c>
      <x:c r="T5" s="18" t="inlineStr">
        <x:is>
          <x:t xml:space="preserve">Local dust collection strongly recommended</x:t>
        </x:is>
      </x:c>
      <x:c r="U5" s="17" t="inlineStr">
        <x:is>
          <x:t xml:space="preserve">West/northwest; away from clean instruments and window-wall service assumptions</x:t>
        </x:is>
      </x:c>
      <x:c r="V5" s="17" t="inlineStr">
        <x:is>
          <x:t xml:space="preserve">OEM-verified body; accessory envelope is planning allowance</x:t>
        </x:is>
      </x:c>
      <x:c r="W5" s="18" t="inlineStr">
        <x:is>
          <x:t xml:space="preserve">FRITSCH official technical data</x:t>
        </x:is>
      </x:c>
      <x:c r="X5" s="21" t="inlineStr">
        <x:is>
          <x:t xml:space="preserve">https://www.fritsch-international.com/sample-preparation/milling/cutting-mills/details/product/pulverisette-19-50-700-rpm/technical-details/</x:t>
        </x:is>
      </x:c>
      <x:c r="Y5" s="17" t="inlineStr">
        <x:is>
          <x:t xml:space="preserve">Final footprint changes with funnel, rotor, screen, collection vessel, support frame, cyclone and dust package. Do not shrink the 48 x 48 planning envelope without vendor review.</x:t>
        </x:is>
      </x:c>
      <x:c r="Z5" s="17" t="inlineStr">
        <x:is>
          <x:t xml:space="preserve">SCENARIO B - EQUIPMENT</x:t>
        </x:is>
      </x:c>
      <x:c r="AA5" s="17" t="inlineStr">
        <x:is>
          <x:t xml:space="preserve">No</x:t>
        </x:is>
      </x:c>
      <x:c r="AB5" s="22" t="n">
        <x:f>IF(OR(H5="",I5=""),"",H5*I5/144)</x:f>
        <x:v>3.736319444444445</x:v>
      </x:c>
      <x:c r="AC5" s="22" t="n">
        <x:f>IF(OR(M5="",N5=""),"",M5*N5/144)</x:f>
        <x:v>16</x:v>
      </x:c>
      <x:c r="AD5" s="22" t="n">
        <x:f>IF(AA5="Yes",E5*K5*L5/144,0)</x:f>
        <x:v>0</x:v>
      </x:c>
      <x:c r="AE5" s="22" t="n">
        <x:f>IF(OR(K5="",L5=""),"",K5*L5/144)</x:f>
        <x:v>4</x:v>
      </x:c>
      <x:c r="AF5" s="23" t="str">
        <x:f>IF(LEFT(D5,8)="Required","REQ",IF(LEFT(D5,11)="Conditional","COND",IF(LEFT(D5,8)="Template","TEMPLATE","REF")))</x:f>
        <x:v>REQ</x:v>
      </x:c>
      <x:c r="AG5" s="23" t="str">
        <x:f>IF(OR(ISNUMBER(SEARCH("verify",V5)),ISNUMBER(SEARCH("allowance",V5))),"REVIEW","")</x:f>
        <x:v>REVIEW</x:v>
      </x:c>
    </x:row>
    <x:row r="6" ht="64" customHeight="1">
      <x:c r="A6" s="17" t="inlineStr">
        <x:is>
          <x:t xml:space="preserve">B-EQ-PREP04</x:t>
        </x:is>
      </x:c>
      <x:c r="B6" s="17" t="inlineStr">
        <x:is>
          <x:t xml:space="preserve">Equipment</x:t>
        </x:is>
      </x:c>
      <x:c r="C6" s="17" t="inlineStr">
        <x:is>
          <x:t xml:space="preserve">Dirty / noisy prep</x:t>
        </x:is>
      </x:c>
      <x:c r="D6" s="17" t="inlineStr">
        <x:is>
          <x:t xml:space="preserve">Required</x:t>
        </x:is>
      </x:c>
      <x:c r="E6" s="17" t="n">
        <x:v>1</x:v>
      </x:c>
      <x:c r="F6" s="17" t="inlineStr">
        <x:is>
          <x:t xml:space="preserve">FOSS CT 293 CYCLOTEC</x:t>
        </x:is>
      </x:c>
      <x:c r="G6" s="18" t="inlineStr">
        <x:is>
          <x:t xml:space="preserve">FOSS CT 293 Cyclotec</x:t>
        </x:is>
      </x:c>
      <x:c r="H6" s="19" t="n">
        <x:v>12.5</x:v>
      </x:c>
      <x:c r="I6" s="19" t="n">
        <x:v>12.1</x:v>
      </x:c>
      <x:c r="J6" s="19" t="n">
        <x:v>17.8</x:v>
      </x:c>
      <x:c r="K6" s="20" t="n">
        <x:v>13</x:v>
      </x:c>
      <x:c r="L6" s="20" t="n">
        <x:v>13</x:v>
      </x:c>
      <x:c r="M6" s="20" t="n">
        <x:v>30</x:v>
      </x:c>
      <x:c r="N6" s="20" t="n">
        <x:v>24</x:v>
      </x:c>
      <x:c r="O6" s="17" t="inlineStr">
        <x:is>
          <x:t xml:space="preserve">B-T-PREP02</x:t>
        </x:is>
      </x:c>
      <x:c r="P6" s="17" t="inlineStr">
        <x:is>
          <x:t xml:space="preserve">Fine grinding after primary reduction</x:t>
        </x:is>
      </x:c>
      <x:c r="Q6" s="18" t="inlineStr">
        <x:is>
          <x:t xml:space="preserve">115 V, 60 Hz available model; 600 W</x:t>
        </x:is>
      </x:c>
      <x:c r="R6" s="18" t="inlineStr">
        <x:is>
          <x:t xml:space="preserve">None</x:t>
        </x:is>
      </x:c>
      <x:c r="S6" s="18" t="inlineStr">
        <x:is>
          <x:t xml:space="preserve">None</x:t>
        </x:is>
      </x:c>
      <x:c r="T6" s="18" t="inlineStr">
        <x:is>
          <x:t xml:space="preserve">Dust-collection connection as needed</x:t>
        </x:is>
      </x:c>
      <x:c r="U6" s="17" t="inlineStr">
        <x:is>
          <x:t xml:space="preserve">After PULVERISETTE 19 and before sample divider</x:t>
        </x:is>
      </x:c>
      <x:c r="V6" s="17" t="inlineStr">
        <x:is>
          <x:t xml:space="preserve">OEM-verified body</x:t>
        </x:is>
      </x:c>
      <x:c r="W6" s="18" t="inlineStr">
        <x:is>
          <x:t xml:space="preserve">FOSS official CT 293 page</x:t>
        </x:is>
      </x:c>
      <x:c r="X6" s="21" t="inlineStr">
        <x:is>
          <x:t xml:space="preserve">https://www.fossanalytics.com/en/products/ct-293-cyclotec</x:t>
        </x:is>
      </x:c>
      <x:c r="Y6" s="17" t="inlineStr">
        <x:is>
          <x:t xml:space="preserve">Keep transfer space for sample cups, receiving bottles and cleaning tools.</x:t>
        </x:is>
      </x:c>
      <x:c r="Z6" s="17" t="inlineStr">
        <x:is>
          <x:t xml:space="preserve">SCENARIO B - EQUIPMENT</x:t>
        </x:is>
      </x:c>
      <x:c r="AA6" s="17" t="inlineStr">
        <x:is>
          <x:t xml:space="preserve">No</x:t>
        </x:is>
      </x:c>
      <x:c r="AB6" s="22" t="n">
        <x:f>IF(OR(H6="",I6=""),"",H6*I6/144)</x:f>
        <x:v>1.0503472222222223</x:v>
      </x:c>
      <x:c r="AC6" s="22" t="n">
        <x:f>IF(OR(M6="",N6=""),"",M6*N6/144)</x:f>
        <x:v>5</x:v>
      </x:c>
      <x:c r="AD6" s="22" t="n">
        <x:f>IF(AA6="Yes",E6*K6*L6/144,0)</x:f>
        <x:v>0</x:v>
      </x:c>
      <x:c r="AE6" s="22" t="n">
        <x:f>IF(OR(K6="",L6=""),"",K6*L6/144)</x:f>
        <x:v>1.1736111111111112</x:v>
      </x:c>
      <x:c r="AF6" s="23" t="str">
        <x:f>IF(LEFT(D6,8)="Required","REQ",IF(LEFT(D6,11)="Conditional","COND",IF(LEFT(D6,8)="Template","TEMPLATE","REF")))</x:f>
        <x:v>REQ</x:v>
      </x:c>
      <x:c r="AG6" s="23" t="str">
        <x:f>IF(OR(ISNUMBER(SEARCH("verify",V6)),ISNUMBER(SEARCH("allowance",V6))),"REVIEW","")</x:f>
      </x:c>
    </x:row>
    <x:row r="7" ht="64" customHeight="1">
      <x:c r="A7" s="17" t="inlineStr">
        <x:is>
          <x:t xml:space="preserve">B-EQ-PREP05</x:t>
        </x:is>
      </x:c>
      <x:c r="B7" s="17" t="inlineStr">
        <x:is>
          <x:t xml:space="preserve">Equipment</x:t>
        </x:is>
      </x:c>
      <x:c r="C7" s="17" t="inlineStr">
        <x:is>
          <x:t xml:space="preserve">Dirty / noisy prep</x:t>
        </x:is>
      </x:c>
      <x:c r="D7" s="17" t="inlineStr">
        <x:is>
          <x:t xml:space="preserve">Required</x:t>
        </x:is>
      </x:c>
      <x:c r="E7" s="17" t="n">
        <x:v>1</x:v>
      </x:c>
      <x:c r="F7" s="17" t="inlineStr">
        <x:is>
          <x:t xml:space="preserve">RETSCH PT 100 + DR 100 DIVIDER</x:t>
        </x:is>
      </x:c>
      <x:c r="G7" s="18" t="inlineStr">
        <x:is>
          <x:t xml:space="preserve">RETSCH PT 100 with DR 100 feeder</x:t>
        </x:is>
      </x:c>
      <x:c r="H7" s="19" t="n">
        <x:v>22.8</x:v>
      </x:c>
      <x:c r="I7" s="19" t="n">
        <x:v>16.5</x:v>
      </x:c>
      <x:c r="J7" s="19" t="n">
        <x:v>35.8</x:v>
      </x:c>
      <x:c r="K7" s="20" t="n">
        <x:v>23</x:v>
      </x:c>
      <x:c r="L7" s="20" t="n">
        <x:v>17</x:v>
      </x:c>
      <x:c r="M7" s="20" t="n">
        <x:v>36</x:v>
      </x:c>
      <x:c r="N7" s="20" t="n">
        <x:v>30</x:v>
      </x:c>
      <x:c r="O7" s="17" t="inlineStr">
        <x:is>
          <x:t xml:space="preserve">B-T-PREP02</x:t>
        </x:is>
      </x:c>
      <x:c r="P7" s="17" t="inlineStr">
        <x:is>
          <x:t xml:space="preserve">Representative division between grinding and analytical lanes</x:t>
        </x:is>
      </x:c>
      <x:c r="Q7" s="18" t="inlineStr">
        <x:is>
          <x:t xml:space="preserve">100-240 V, 50/60 Hz, 1-phase</x:t>
        </x:is>
      </x:c>
      <x:c r="R7" s="18" t="inlineStr">
        <x:is>
          <x:t xml:space="preserve">None</x:t>
        </x:is>
      </x:c>
      <x:c r="S7" s="18" t="inlineStr">
        <x:is>
          <x:t xml:space="preserve">None</x:t>
        </x:is>
      </x:c>
      <x:c r="T7" s="18" t="inlineStr">
        <x:is>
          <x:t xml:space="preserve">Control transfer dust</x:t>
        </x:is>
      </x:c>
      <x:c r="U7" s="17" t="inlineStr">
        <x:is>
          <x:t xml:space="preserve">On the workflow path after fine grinding</x:t>
        </x:is>
      </x:c>
      <x:c r="V7" s="17" t="inlineStr">
        <x:is>
          <x:t xml:space="preserve">OEM-verified configured body</x:t>
        </x:is>
      </x:c>
      <x:c r="W7" s="18" t="inlineStr">
        <x:is>
          <x:t xml:space="preserve">RETSCH official PT 100 data</x:t>
        </x:is>
      </x:c>
      <x:c r="X7" s="21" t="inlineStr">
        <x:is>
          <x:t xml:space="preserve">https://www.retsch.com/products/assisting/sample-divider/pt-100/</x:t>
        </x:is>
      </x:c>
      <x:c r="Y7" s="17" t="inlineStr">
        <x:is>
          <x:t xml:space="preserve">Envelope includes bottle access and feeder loading; do not block collection bottle removal.</x:t>
        </x:is>
      </x:c>
      <x:c r="Z7" s="17" t="inlineStr">
        <x:is>
          <x:t xml:space="preserve">SCENARIO B - EQUIPMENT</x:t>
        </x:is>
      </x:c>
      <x:c r="AA7" s="17" t="inlineStr">
        <x:is>
          <x:t xml:space="preserve">No</x:t>
        </x:is>
      </x:c>
      <x:c r="AB7" s="22" t="n">
        <x:f>IF(OR(H7="",I7=""),"",H7*I7/144)</x:f>
        <x:v>2.6125</x:v>
      </x:c>
      <x:c r="AC7" s="22" t="n">
        <x:f>IF(OR(M7="",N7=""),"",M7*N7/144)</x:f>
        <x:v>7.5</x:v>
      </x:c>
      <x:c r="AD7" s="22" t="n">
        <x:f>IF(AA7="Yes",E7*K7*L7/144,0)</x:f>
        <x:v>0</x:v>
      </x:c>
      <x:c r="AE7" s="22" t="n">
        <x:f>IF(OR(K7="",L7=""),"",K7*L7/144)</x:f>
        <x:v>2.7152777777777777</x:v>
      </x:c>
      <x:c r="AF7" s="23" t="str">
        <x:f>IF(LEFT(D7,8)="Required","REQ",IF(LEFT(D7,11)="Conditional","COND",IF(LEFT(D7,8)="Template","TEMPLATE","REF")))</x:f>
        <x:v>REQ</x:v>
      </x:c>
      <x:c r="AG7" s="23" t="str">
        <x:f>IF(OR(ISNUMBER(SEARCH("verify",V7)),ISNUMBER(SEARCH("allowance",V7))),"REVIEW","")</x:f>
      </x:c>
    </x:row>
    <x:row r="8" ht="64" customHeight="1">
      <x:c r="A8" s="17" t="inlineStr">
        <x:is>
          <x:t xml:space="preserve">B-EQ-PREP07</x:t>
        </x:is>
      </x:c>
      <x:c r="B8" s="17" t="inlineStr">
        <x:is>
          <x:t xml:space="preserve">Equipment</x:t>
        </x:is>
      </x:c>
      <x:c r="C8" s="17" t="inlineStr">
        <x:is>
          <x:t xml:space="preserve">Dirty / noisy prep</x:t>
        </x:is>
      </x:c>
      <x:c r="D8" s="17" t="inlineStr">
        <x:is>
          <x:t xml:space="preserve">Required</x:t>
        </x:is>
      </x:c>
      <x:c r="E8" s="17" t="n">
        <x:v>1</x:v>
      </x:c>
      <x:c r="F8" s="17" t="inlineStr">
        <x:is>
          <x:t xml:space="preserve">RETSCH AS 200 BASIC SIEVE SHAKER</x:t>
        </x:is>
      </x:c>
      <x:c r="G8" s="18" t="inlineStr">
        <x:is>
          <x:t xml:space="preserve">RETSCH AS 200 basic</x:t>
        </x:is>
      </x:c>
      <x:c r="H8" s="19" t="n">
        <x:v>16.4</x:v>
      </x:c>
      <x:c r="I8" s="19" t="n">
        <x:v>15.1</x:v>
      </x:c>
      <x:c r="J8" s="19" t="n">
        <x:v>8.300000000000001</x:v>
      </x:c>
      <x:c r="K8" s="20" t="n">
        <x:v>17</x:v>
      </x:c>
      <x:c r="L8" s="20" t="n">
        <x:v>16</x:v>
      </x:c>
      <x:c r="M8" s="20" t="n">
        <x:v>30</x:v>
      </x:c>
      <x:c r="N8" s="20" t="n">
        <x:v>30</x:v>
      </x:c>
      <x:c r="O8" s="17" t="inlineStr">
        <x:is>
          <x:t xml:space="preserve">B-T-PREP03</x:t>
        </x:is>
      </x:c>
      <x:c r="P8" s="17" t="inlineStr">
        <x:is>
          <x:t xml:space="preserve">Particle-size verification with 1.00 mm and 2.80 mm sieves</x:t>
        </x:is>
      </x:c>
      <x:c r="Q8" s="18" t="inlineStr">
        <x:is>
          <x:t xml:space="preserve">Confirm selected voltage; 1-phase</x:t>
        </x:is>
      </x:c>
      <x:c r="R8" s="18" t="inlineStr">
        <x:is>
          <x:t xml:space="preserve">None unless wet sieving is later adopted</x:t>
        </x:is>
      </x:c>
      <x:c r="S8" s="18" t="inlineStr">
        <x:is>
          <x:t xml:space="preserve">None</x:t>
        </x:is>
      </x:c>
      <x:c r="T8" s="18" t="inlineStr">
        <x:is>
          <x:t xml:space="preserve">Control dust; normal HVAC</x:t>
        </x:is>
      </x:c>
      <x:c r="U8" s="17" t="inlineStr">
        <x:is>
          <x:t xml:space="preserve">Near divider and protected sieve storage; isolate vibration from balances</x:t>
        </x:is>
      </x:c>
      <x:c r="V8" s="17" t="inlineStr">
        <x:is>
          <x:t xml:space="preserve">OEM-verified base; stack height allowance</x:t>
        </x:is>
      </x:c>
      <x:c r="W8" s="18" t="inlineStr">
        <x:is>
          <x:t xml:space="preserve">RETSCH official AS 200 basic data</x:t>
        </x:is>
      </x:c>
      <x:c r="X8" s="21" t="inlineStr">
        <x:is>
          <x:t xml:space="preserve">https://www.retsch.com/products/sieving/sieve-shakers/as-200-basic</x:t>
        </x:is>
      </x:c>
      <x:c r="Y8" s="17" t="inlineStr">
        <x:is>
          <x:t xml:space="preserve">Base height is about 8.3 in; allow up to 20.1 in total sieve-stack height.</x:t>
        </x:is>
      </x:c>
      <x:c r="Z8" s="17" t="inlineStr">
        <x:is>
          <x:t xml:space="preserve">SCENARIO B - EQUIPMENT</x:t>
        </x:is>
      </x:c>
      <x:c r="AA8" s="17" t="inlineStr">
        <x:is>
          <x:t xml:space="preserve">No</x:t>
        </x:is>
      </x:c>
      <x:c r="AB8" s="22" t="n">
        <x:f>IF(OR(H8="",I8=""),"",H8*I8/144)</x:f>
        <x:v>1.7197222222222222</x:v>
      </x:c>
      <x:c r="AC8" s="22" t="n">
        <x:f>IF(OR(M8="",N8=""),"",M8*N8/144)</x:f>
        <x:v>6.25</x:v>
      </x:c>
      <x:c r="AD8" s="22" t="n">
        <x:f>IF(AA8="Yes",E8*K8*L8/144,0)</x:f>
        <x:v>0</x:v>
      </x:c>
      <x:c r="AE8" s="22" t="n">
        <x:f>IF(OR(K8="",L8=""),"",K8*L8/144)</x:f>
        <x:v>1.8888888888888888</x:v>
      </x:c>
      <x:c r="AF8" s="23" t="str">
        <x:f>IF(LEFT(D8,8)="Required","REQ",IF(LEFT(D8,11)="Conditional","COND",IF(LEFT(D8,8)="Template","TEMPLATE","REF")))</x:f>
        <x:v>REQ</x:v>
      </x:c>
      <x:c r="AG8" s="23" t="str">
        <x:f>IF(OR(ISNUMBER(SEARCH("verify",V8)),ISNUMBER(SEARCH("allowance",V8))),"REVIEW","")</x:f>
        <x:v>REVIEW</x:v>
      </x:c>
    </x:row>
    <x:row r="9" ht="64" customHeight="1">
      <x:c r="A9" s="17" t="inlineStr">
        <x:is>
          <x:t xml:space="preserve">B-ACC-PREP08-W</x:t>
        </x:is>
      </x:c>
      <x:c r="B9" s="17" t="inlineStr">
        <x:is>
          <x:t xml:space="preserve">Accessory</x:t>
        </x:is>
      </x:c>
      <x:c r="C9" s="17" t="inlineStr">
        <x:is>
          <x:t xml:space="preserve">Dirty / noisy prep</x:t>
        </x:is>
      </x:c>
      <x:c r="D9" s="17" t="inlineStr">
        <x:is>
          <x:t xml:space="preserve">Required</x:t>
        </x:is>
      </x:c>
      <x:c r="E9" s="17" t="n">
        <x:v>1</x:v>
      </x:c>
      <x:c r="F9" s="17" t="inlineStr">
        <x:is>
          <x:t xml:space="preserve">8-IN CERTIFIED SIEVE SET - WORKING</x:t>
        </x:is>
      </x:c>
      <x:c r="G9" s="18" t="inlineStr">
        <x:is>
          <x:t xml:space="preserve">8-in stainless sieves, pan and lid</x:t>
        </x:is>
      </x:c>
      <x:c r="H9" s="19" t="n">
        <x:v>10</x:v>
      </x:c>
      <x:c r="I9" s="19" t="n">
        <x:v>10</x:v>
      </x:c>
      <x:c r="J9" s="19" t="n"/>
      <x:c r="K9" s="20" t="n">
        <x:v>10</x:v>
      </x:c>
      <x:c r="L9" s="20" t="n">
        <x:v>10</x:v>
      </x:c>
      <x:c r="M9" s="20" t="n">
        <x:v>12</x:v>
      </x:c>
      <x:c r="N9" s="20" t="n">
        <x:v>12</x:v>
      </x:c>
      <x:c r="O9" s="17" t="inlineStr">
        <x:is>
          <x:t xml:space="preserve">B-STOR-PREP08</x:t>
        </x:is>
      </x:c>
      <x:c r="P9" s="17" t="inlineStr">
        <x:is>
          <x:t xml:space="preserve">Working 1.00 mm and 2.80 mm particle-size checks</x:t>
        </x:is>
      </x:c>
      <x:c r="Q9" s="18" t="inlineStr">
        <x:is>
          <x:t xml:space="preserve"/>
        </x:is>
      </x:c>
      <x:c r="R9" s="18" t="inlineStr">
        <x:is>
          <x:t xml:space="preserve"/>
        </x:is>
      </x:c>
      <x:c r="S9" s="18" t="inlineStr">
        <x:is>
          <x:t xml:space="preserve"/>
        </x:is>
      </x:c>
      <x:c r="T9" s="18" t="inlineStr">
        <x:is>
          <x:t xml:space="preserve"/>
        </x:is>
      </x:c>
      <x:c r="U9" s="17" t="inlineStr">
        <x:is>
          <x:t xml:space="preserve">Protected storage beside AS 200</x:t>
        </x:is>
      </x:c>
      <x:c r="V9" s="17" t="inlineStr">
        <x:is>
          <x:t xml:space="preserve">Planning block; exact set quantity to confirm</x:t>
        </x:is>
      </x:c>
      <x:c r="W9" s="18" t="inlineStr">
        <x:is>
          <x:t xml:space="preserve">Scenario B workbook PREP-08</x:t>
        </x:is>
      </x:c>
      <x:c r="X9" s="18" t="inlineStr">
        <x:is>
          <x:t xml:space="preserve"/>
        </x:is>
      </x:c>
      <x:c r="Y9" s="17" t="inlineStr">
        <x:is>
          <x:t xml:space="preserve">Keep the working and reference/backup sets visibly separate in storage.</x:t>
        </x:is>
      </x:c>
      <x:c r="Z9" s="17" t="inlineStr">
        <x:is>
          <x:t xml:space="preserve">SCENARIO B - EQUIPMENT</x:t>
        </x:is>
      </x:c>
      <x:c r="AA9" s="17" t="inlineStr">
        <x:is>
          <x:t xml:space="preserve">No</x:t>
        </x:is>
      </x:c>
      <x:c r="AB9" s="22" t="n">
        <x:f>IF(OR(H9="",I9=""),"",H9*I9/144)</x:f>
        <x:v>0.6944444444444444</x:v>
      </x:c>
      <x:c r="AC9" s="22" t="n">
        <x:f>IF(OR(M9="",N9=""),"",M9*N9/144)</x:f>
        <x:v>1</x:v>
      </x:c>
      <x:c r="AD9" s="22" t="n">
        <x:f>IF(AA9="Yes",E9*K9*L9/144,0)</x:f>
        <x:v>0</x:v>
      </x:c>
      <x:c r="AE9" s="22" t="n">
        <x:f>IF(OR(K9="",L9=""),"",K9*L9/144)</x:f>
        <x:v>0.6944444444444444</x:v>
      </x:c>
      <x:c r="AF9" s="23" t="str">
        <x:f>IF(LEFT(D9,8)="Required","REQ",IF(LEFT(D9,11)="Conditional","COND",IF(LEFT(D9,8)="Template","TEMPLATE","REF")))</x:f>
        <x:v>REQ</x:v>
      </x:c>
      <x:c r="AG9" s="23" t="str">
        <x:f>IF(OR(ISNUMBER(SEARCH("verify",V9)),ISNUMBER(SEARCH("allowance",V9))),"REVIEW","")</x:f>
      </x:c>
    </x:row>
    <x:row r="10" ht="64" customHeight="1">
      <x:c r="A10" s="17" t="inlineStr">
        <x:is>
          <x:t xml:space="preserve">B-ACC-PREP08-R</x:t>
        </x:is>
      </x:c>
      <x:c r="B10" s="17" t="inlineStr">
        <x:is>
          <x:t xml:space="preserve">Accessory</x:t>
        </x:is>
      </x:c>
      <x:c r="C10" s="17" t="inlineStr">
        <x:is>
          <x:t xml:space="preserve">Dirty / noisy prep</x:t>
        </x:is>
      </x:c>
      <x:c r="D10" s="17" t="inlineStr">
        <x:is>
          <x:t xml:space="preserve">Required</x:t>
        </x:is>
      </x:c>
      <x:c r="E10" s="17" t="n">
        <x:v>1</x:v>
      </x:c>
      <x:c r="F10" s="17" t="inlineStr">
        <x:is>
          <x:t xml:space="preserve">8-IN CERTIFIED SIEVE SET - REFERENCE/BACKUP</x:t>
        </x:is>
      </x:c>
      <x:c r="G10" s="18" t="inlineStr">
        <x:is>
          <x:t xml:space="preserve">8-in stainless sieves, pan and lid</x:t>
        </x:is>
      </x:c>
      <x:c r="H10" s="19" t="n">
        <x:v>10</x:v>
      </x:c>
      <x:c r="I10" s="19" t="n">
        <x:v>10</x:v>
      </x:c>
      <x:c r="J10" s="19" t="n"/>
      <x:c r="K10" s="20" t="n">
        <x:v>10</x:v>
      </x:c>
      <x:c r="L10" s="20" t="n">
        <x:v>10</x:v>
      </x:c>
      <x:c r="M10" s="20" t="n">
        <x:v>12</x:v>
      </x:c>
      <x:c r="N10" s="20" t="n">
        <x:v>12</x:v>
      </x:c>
      <x:c r="O10" s="17" t="inlineStr">
        <x:is>
          <x:t xml:space="preserve">B-STOR-PREP08</x:t>
        </x:is>
      </x:c>
      <x:c r="P10" s="17" t="inlineStr">
        <x:is>
          <x:t xml:space="preserve">Reference/backup 1.00 mm and 2.80 mm sieves</x:t>
        </x:is>
      </x:c>
      <x:c r="Q10" s="18" t="inlineStr">
        <x:is>
          <x:t xml:space="preserve"/>
        </x:is>
      </x:c>
      <x:c r="R10" s="18" t="inlineStr">
        <x:is>
          <x:t xml:space="preserve"/>
        </x:is>
      </x:c>
      <x:c r="S10" s="18" t="inlineStr">
        <x:is>
          <x:t xml:space="preserve"/>
        </x:is>
      </x:c>
      <x:c r="T10" s="18" t="inlineStr">
        <x:is>
          <x:t xml:space="preserve"/>
        </x:is>
      </x:c>
      <x:c r="U10" s="17" t="inlineStr">
        <x:is>
          <x:t xml:space="preserve">Protected storage beside AS 200</x:t>
        </x:is>
      </x:c>
      <x:c r="V10" s="17" t="inlineStr">
        <x:is>
          <x:t xml:space="preserve">Planning block; exact set quantity to confirm</x:t>
        </x:is>
      </x:c>
      <x:c r="W10" s="18" t="inlineStr">
        <x:is>
          <x:t xml:space="preserve">Scenario B workbook PREP-08</x:t>
        </x:is>
      </x:c>
      <x:c r="X10" s="18" t="inlineStr">
        <x:is>
          <x:t xml:space="preserve"/>
        </x:is>
      </x:c>
      <x:c r="Y10" s="17" t="inlineStr">
        <x:is>
          <x:t xml:space="preserve">Do not combine the working and reference set into one unlabeled object.</x:t>
        </x:is>
      </x:c>
      <x:c r="Z10" s="17" t="inlineStr">
        <x:is>
          <x:t xml:space="preserve">SCENARIO B - EQUIPMENT</x:t>
        </x:is>
      </x:c>
      <x:c r="AA10" s="17" t="inlineStr">
        <x:is>
          <x:t xml:space="preserve">No</x:t>
        </x:is>
      </x:c>
      <x:c r="AB10" s="22" t="n">
        <x:f>IF(OR(H10="",I10=""),"",H10*I10/144)</x:f>
        <x:v>0.6944444444444444</x:v>
      </x:c>
      <x:c r="AC10" s="22" t="n">
        <x:f>IF(OR(M10="",N10=""),"",M10*N10/144)</x:f>
        <x:v>1</x:v>
      </x:c>
      <x:c r="AD10" s="22" t="n">
        <x:f>IF(AA10="Yes",E10*K10*L10/144,0)</x:f>
        <x:v>0</x:v>
      </x:c>
      <x:c r="AE10" s="22" t="n">
        <x:f>IF(OR(K10="",L10=""),"",K10*L10/144)</x:f>
        <x:v>0.6944444444444444</x:v>
      </x:c>
      <x:c r="AF10" s="23" t="str">
        <x:f>IF(LEFT(D10,8)="Required","REQ",IF(LEFT(D10,11)="Conditional","COND",IF(LEFT(D10,8)="Template","TEMPLATE","REF")))</x:f>
        <x:v>REQ</x:v>
      </x:c>
      <x:c r="AG10" s="23" t="str">
        <x:f>IF(OR(ISNUMBER(SEARCH("verify",V10)),ISNUMBER(SEARCH("allowance",V10))),"REVIEW","")</x:f>
      </x:c>
    </x:row>
    <x:row r="11" ht="64" customHeight="1">
      <x:c r="A11" s="17" t="inlineStr">
        <x:is>
          <x:t xml:space="preserve">B-EQ-MIN03</x:t>
        </x:is>
      </x:c>
      <x:c r="B11" s="17" t="inlineStr">
        <x:is>
          <x:t xml:space="preserve">Equipment</x:t>
        </x:is>
      </x:c>
      <x:c r="C11" s="17" t="inlineStr">
        <x:is>
          <x:t xml:space="preserve">Clean general analysis</x:t>
        </x:is>
      </x:c>
      <x:c r="D11" s="17" t="inlineStr">
        <x:is>
          <x:t xml:space="preserve">Required</x:t>
        </x:is>
      </x:c>
      <x:c r="E11" s="17" t="n">
        <x:v>1</x:v>
      </x:c>
      <x:c r="F11" s="17" t="inlineStr">
        <x:is>
          <x:t xml:space="preserve">EVOLUTION ONE UV-VIS</x:t>
        </x:is>
      </x:c>
      <x:c r="G11" s="18" t="inlineStr">
        <x:is>
          <x:t xml:space="preserve">Thermo Scientific Evolution One UV-Vis</x:t>
        </x:is>
      </x:c>
      <x:c r="H11" s="19" t="n">
        <x:v>23.3</x:v>
      </x:c>
      <x:c r="I11" s="19" t="n">
        <x:v>18.7</x:v>
      </x:c>
      <x:c r="J11" s="19" t="n">
        <x:v>10.6</x:v>
      </x:c>
      <x:c r="K11" s="20" t="n">
        <x:v>24</x:v>
      </x:c>
      <x:c r="L11" s="20" t="n">
        <x:v>19</x:v>
      </x:c>
      <x:c r="M11" s="20" t="n">
        <x:v>36</x:v>
      </x:c>
      <x:c r="N11" s="20" t="n">
        <x:v>30</x:v>
      </x:c>
      <x:c r="O11" s="17" t="inlineStr">
        <x:is>
          <x:t xml:space="preserve">B-T-CLEAN01</x:t>
        </x:is>
      </x:c>
      <x:c r="P11" s="17" t="inlineStr">
        <x:is>
          <x:t xml:space="preserve">ISO 6491 phosphorus measurement; nearby wet-chemistry preparation</x:t>
        </x:is>
      </x:c>
      <x:c r="Q11" s="18" t="inlineStr">
        <x:is>
          <x:t xml:space="preserve">100-240 V, 50/60 Hz; 150 W maximum</x:t>
        </x:is>
      </x:c>
      <x:c r="R11" s="18" t="inlineStr">
        <x:is>
          <x:t xml:space="preserve">None direct</x:t>
        </x:is>
      </x:c>
      <x:c r="S11" s="18" t="inlineStr">
        <x:is>
          <x:t xml:space="preserve">None</x:t>
        </x:is>
      </x:c>
      <x:c r="T11" s="18" t="inlineStr">
        <x:is>
          <x:t xml:space="preserve">Normal HVAC</x:t>
        </x:is>
      </x:c>
      <x:c r="U11" s="17" t="inlineStr">
        <x:is>
          <x:t xml:space="preserve">Clean low-dust bench; away from grinding, sink splash and direct HVAC discharge</x:t>
        </x:is>
      </x:c>
      <x:c r="V11" s="17" t="inlineStr">
        <x:is>
          <x:t xml:space="preserve">OEM-verified body</x:t>
        </x:is>
      </x:c>
      <x:c r="W11" s="18" t="inlineStr">
        <x:is>
          <x:t xml:space="preserve">Thermo Fisher official Evolution specifications</x:t>
        </x:is>
      </x:c>
      <x:c r="X11" s="21" t="inlineStr">
        <x:is>
          <x:t xml:space="preserve">https://www.thermofisher.com/us/en/home/industrial/spectroscopy-elemental-isotope-analysis/molecular-spectroscopy/uv-vis-spectrophotometry/instruments/evolution-uv-vis-spectrophotometer.html</x:t>
        </x:is>
      </x:c>
      <x:c r="Y11" s="17" t="inlineStr">
        <x:is>
          <x:t xml:space="preserve">Body block is rounded to the nearest inch; reserve cuvette, standards and reagent transfer space within the 36 x 30 envelope.</x:t>
        </x:is>
      </x:c>
      <x:c r="Z11" s="17" t="inlineStr">
        <x:is>
          <x:t xml:space="preserve">SCENARIO B - EQUIPMENT</x:t>
        </x:is>
      </x:c>
      <x:c r="AA11" s="17" t="inlineStr">
        <x:is>
          <x:t xml:space="preserve">No</x:t>
        </x:is>
      </x:c>
      <x:c r="AB11" s="22" t="n">
        <x:f>IF(OR(H11="",I11=""),"",H11*I11/144)</x:f>
        <x:v>3.0257638888888887</x:v>
      </x:c>
      <x:c r="AC11" s="22" t="n">
        <x:f>IF(OR(M11="",N11=""),"",M11*N11/144)</x:f>
        <x:v>7.5</x:v>
      </x:c>
      <x:c r="AD11" s="22" t="n">
        <x:f>IF(AA11="Yes",E11*K11*L11/144,0)</x:f>
        <x:v>0</x:v>
      </x:c>
      <x:c r="AE11" s="22" t="n">
        <x:f>IF(OR(K11="",L11=""),"",K11*L11/144)</x:f>
        <x:v>3.1666666666666665</x:v>
      </x:c>
      <x:c r="AF11" s="23" t="str">
        <x:f>IF(LEFT(D11,8)="Required","REQ",IF(LEFT(D11,11)="Conditional","COND",IF(LEFT(D11,8)="Template","TEMPLATE","REF")))</x:f>
        <x:v>REQ</x:v>
      </x:c>
      <x:c r="AG11" s="23" t="str">
        <x:f>IF(OR(ISNUMBER(SEARCH("verify",V11)),ISNUMBER(SEARCH("allowance",V11))),"REVIEW","")</x:f>
      </x:c>
    </x:row>
    <x:row r="12" ht="64" customHeight="1">
      <x:c r="A12" s="17" t="inlineStr">
        <x:is>
          <x:t xml:space="preserve">B-EQ-STARCHG2</x:t>
        </x:is>
      </x:c>
      <x:c r="B12" s="17" t="inlineStr">
        <x:is>
          <x:t xml:space="preserve">Equipment</x:t>
        </x:is>
      </x:c>
      <x:c r="C12" s="17" t="inlineStr">
        <x:is>
          <x:t xml:space="preserve">Clean general analysis</x:t>
        </x:is>
      </x:c>
      <x:c r="D12" s="17" t="inlineStr">
        <x:is>
          <x:t xml:space="preserve">Required</x:t>
        </x:is>
      </x:c>
      <x:c r="E12" s="17" t="n">
        <x:v>1</x:v>
      </x:c>
      <x:c r="F12" s="17" t="inlineStr">
        <x:is>
          <x:t xml:space="preserve">AUTOPOL I/II POLARIMETER</x:t>
        </x:is>
      </x:c>
      <x:c r="G12" s="18" t="inlineStr">
        <x:is>
          <x:t xml:space="preserve">Rudolph AUTOPOL I or AUTOPOL II, 589 nm</x:t>
        </x:is>
      </x:c>
      <x:c r="H12" s="19" t="n">
        <x:v>24.3</x:v>
      </x:c>
      <x:c r="I12" s="19" t="n">
        <x:v>17.5</x:v>
      </x:c>
      <x:c r="J12" s="19" t="n">
        <x:v>12.7</x:v>
      </x:c>
      <x:c r="K12" s="20" t="n">
        <x:v>25</x:v>
      </x:c>
      <x:c r="L12" s="20" t="n">
        <x:v>18</x:v>
      </x:c>
      <x:c r="M12" s="20" t="n">
        <x:v>36</x:v>
      </x:c>
      <x:c r="N12" s="20" t="n">
        <x:v>30</x:v>
      </x:c>
      <x:c r="O12" s="17" t="inlineStr">
        <x:is>
          <x:t xml:space="preserve">B-T-CLEAN01</x:t>
        </x:is>
      </x:c>
      <x:c r="P12" s="17" t="inlineStr">
        <x:is>
          <x:t xml:space="preserve">ISO 6493 starch measurement with 200 mm tube</x:t>
        </x:is>
      </x:c>
      <x:c r="Q12" s="18" t="inlineStr">
        <x:is>
          <x:t xml:space="preserve">100-240 V, 50/60 Hz</x:t>
        </x:is>
      </x:c>
      <x:c r="R12" s="18" t="inlineStr">
        <x:is>
          <x:t xml:space="preserve">Temperature-control connection only if selected tube/system requires it</x:t>
        </x:is>
      </x:c>
      <x:c r="S12" s="18" t="inlineStr">
        <x:is>
          <x:t xml:space="preserve">None</x:t>
        </x:is>
      </x:c>
      <x:c r="T12" s="18" t="inlineStr">
        <x:is>
          <x:t xml:space="preserve">Normal HVAC</x:t>
        </x:is>
      </x:c>
      <x:c r="U12" s="17" t="inlineStr">
        <x:is>
          <x:t xml:space="preserve">Clean low-dust bench with tube handling and acid-resistant sample prep nearby</x:t>
        </x:is>
      </x:c>
      <x:c r="V12" s="17" t="inlineStr">
        <x:is>
          <x:t xml:space="preserve">AUTOPOL I body verified; AUTOPOL II must be rechecked if selected</x:t>
        </x:is>
      </x:c>
      <x:c r="W12" s="18" t="inlineStr">
        <x:is>
          <x:t xml:space="preserve">Rudolph official AUTOPOL I specifications</x:t>
        </x:is>
      </x:c>
      <x:c r="X12" s="21" t="inlineStr">
        <x:is>
          <x:t xml:space="preserve">https://rudolphresearch.com/products/polarimeters/autopol-i/</x:t>
        </x:is>
      </x:c>
      <x:c r="Y12" s="17" t="inlineStr">
        <x:is>
          <x:t xml:space="preserve">Use the AUTOPOL I body for planning; do not assume the same footprint for every AUTOPOL II configuration without verification.</x:t>
        </x:is>
      </x:c>
      <x:c r="Z12" s="17" t="inlineStr">
        <x:is>
          <x:t xml:space="preserve">SCENARIO B - EQUIPMENT</x:t>
        </x:is>
      </x:c>
      <x:c r="AA12" s="17" t="inlineStr">
        <x:is>
          <x:t xml:space="preserve">No</x:t>
        </x:is>
      </x:c>
      <x:c r="AB12" s="22" t="n">
        <x:f>IF(OR(H12="",I12=""),"",H12*I12/144)</x:f>
        <x:v>2.953125</x:v>
      </x:c>
      <x:c r="AC12" s="22" t="n">
        <x:f>IF(OR(M12="",N12=""),"",M12*N12/144)</x:f>
        <x:v>7.5</x:v>
      </x:c>
      <x:c r="AD12" s="22" t="n">
        <x:f>IF(AA12="Yes",E12*K12*L12/144,0)</x:f>
        <x:v>0</x:v>
      </x:c>
      <x:c r="AE12" s="22" t="n">
        <x:f>IF(OR(K12="",L12=""),"",K12*L12/144)</x:f>
        <x:v>3.125</x:v>
      </x:c>
      <x:c r="AF12" s="23" t="str">
        <x:f>IF(LEFT(D12,8)="Required","REQ",IF(LEFT(D12,11)="Conditional","COND",IF(LEFT(D12,8)="Template","TEMPLATE","REF")))</x:f>
        <x:v>REQ</x:v>
      </x:c>
      <x:c r="AG12" s="23" t="str">
        <x:f>IF(OR(ISNUMBER(SEARCH("verify",V12)),ISNUMBER(SEARCH("allowance",V12))),"REVIEW","")</x:f>
      </x:c>
    </x:row>
    <x:row r="13" ht="64" customHeight="1">
      <x:c r="A13" s="17" t="inlineStr">
        <x:is>
          <x:t xml:space="preserve">B-EQ-COLOR01</x:t>
        </x:is>
      </x:c>
      <x:c r="B13" s="17" t="inlineStr">
        <x:is>
          <x:t xml:space="preserve">Equipment</x:t>
        </x:is>
      </x:c>
      <x:c r="C13" s="17" t="inlineStr">
        <x:is>
          <x:t xml:space="preserve">Clean general analysis</x:t>
        </x:is>
      </x:c>
      <x:c r="D13" s="17" t="inlineStr">
        <x:is>
          <x:t xml:space="preserve">Required</x:t>
        </x:is>
      </x:c>
      <x:c r="E13" s="17" t="n">
        <x:v>1</x:v>
      </x:c>
      <x:c r="F13" s="17" t="inlineStr">
        <x:is>
          <x:t xml:space="preserve">HUNTERLAB COLORFLEX EZ</x:t>
        </x:is>
      </x:c>
      <x:c r="G13" s="18" t="inlineStr">
        <x:is>
          <x:t xml:space="preserve">HunterLab ColorFlex EZ 45/0</x:t>
        </x:is>
      </x:c>
      <x:c r="H13" s="19" t="n">
        <x:v>5.1</x:v>
      </x:c>
      <x:c r="I13" s="19" t="n">
        <x:v>14.2</x:v>
      </x:c>
      <x:c r="J13" s="19" t="n">
        <x:v>6.3</x:v>
      </x:c>
      <x:c r="K13" s="20" t="n">
        <x:v>6</x:v>
      </x:c>
      <x:c r="L13" s="20" t="n">
        <x:v>15</x:v>
      </x:c>
      <x:c r="M13" s="20" t="n">
        <x:v>18</x:v>
      </x:c>
      <x:c r="N13" s="20" t="n">
        <x:v>24</x:v>
      </x:c>
      <x:c r="O13" s="17" t="inlineStr">
        <x:is>
          <x:t xml:space="preserve">B-T-CLEAN02</x:t>
        </x:is>
      </x:c>
      <x:c r="P13" s="17" t="inlineStr">
        <x:is>
          <x:t xml:space="preserve">DDGS color measurement; standards and sample-cup storage</x:t>
        </x:is>
      </x:c>
      <x:c r="Q13" s="18" t="inlineStr">
        <x:is>
          <x:t xml:space="preserve">100-240 VAC, 47-63 Hz</x:t>
        </x:is>
      </x:c>
      <x:c r="R13" s="18" t="inlineStr">
        <x:is>
          <x:t xml:space="preserve">None</x:t>
        </x:is>
      </x:c>
      <x:c r="S13" s="18" t="inlineStr">
        <x:is>
          <x:t xml:space="preserve">None</x:t>
        </x:is>
      </x:c>
      <x:c r="T13" s="18" t="inlineStr">
        <x:is>
          <x:t xml:space="preserve">Normal HVAC</x:t>
        </x:is>
      </x:c>
      <x:c r="U13" s="17" t="inlineStr">
        <x:is>
          <x:t xml:space="preserve">Low-dust clean bench; avoid direct window glare/heat</x:t>
        </x:is>
      </x:c>
      <x:c r="V13" s="17" t="inlineStr">
        <x:is>
          <x:t xml:space="preserve">OEM-verified body</x:t>
        </x:is>
      </x:c>
      <x:c r="W13" s="18" t="inlineStr">
        <x:is>
          <x:t xml:space="preserve">HunterLab official ColorFlex EZ specifications</x:t>
        </x:is>
      </x:c>
      <x:c r="X13" s="21" t="inlineStr">
        <x:is>
          <x:t xml:space="preserve">https://www.hunterlab.com/en/products/benchtop-spectrophotometers/colorflex-ez/</x:t>
        </x:is>
      </x:c>
      <x:c r="Y13" s="17" t="inlineStr">
        <x:is>
          <x:t xml:space="preserve">Small body footprint; do not reduce the 18 x 24 working envelope because standards, cups and sample handling need space.</x:t>
        </x:is>
      </x:c>
      <x:c r="Z13" s="17" t="inlineStr">
        <x:is>
          <x:t xml:space="preserve">SCENARIO B - EQUIPMENT</x:t>
        </x:is>
      </x:c>
      <x:c r="AA13" s="17" t="inlineStr">
        <x:is>
          <x:t xml:space="preserve">No</x:t>
        </x:is>
      </x:c>
      <x:c r="AB13" s="22" t="n">
        <x:f>IF(OR(H13="",I13=""),"",H13*I13/144)</x:f>
        <x:v>0.5029166666666666</x:v>
      </x:c>
      <x:c r="AC13" s="22" t="n">
        <x:f>IF(OR(M13="",N13=""),"",M13*N13/144)</x:f>
        <x:v>3</x:v>
      </x:c>
      <x:c r="AD13" s="22" t="n">
        <x:f>IF(AA13="Yes",E13*K13*L13/144,0)</x:f>
        <x:v>0</x:v>
      </x:c>
      <x:c r="AE13" s="22" t="n">
        <x:f>IF(OR(K13="",L13=""),"",K13*L13/144)</x:f>
        <x:v>0.625</x:v>
      </x:c>
      <x:c r="AF13" s="23" t="str">
        <x:f>IF(LEFT(D13,8)="Required","REQ",IF(LEFT(D13,11)="Conditional","COND",IF(LEFT(D13,8)="Template","TEMPLATE","REF")))</x:f>
        <x:v>REQ</x:v>
      </x:c>
      <x:c r="AG13" s="23" t="str">
        <x:f>IF(OR(ISNUMBER(SEARCH("verify",V13)),ISNUMBER(SEARCH("allowance",V13))),"REVIEW","")</x:f>
      </x:c>
    </x:row>
    <x:row r="14" ht="64" customHeight="1">
      <x:c r="A14" s="17" t="inlineStr">
        <x:is>
          <x:t xml:space="preserve">B-EQ-DENS01</x:t>
        </x:is>
      </x:c>
      <x:c r="B14" s="17" t="inlineStr">
        <x:is>
          <x:t xml:space="preserve">Equipment</x:t>
        </x:is>
      </x:c>
      <x:c r="C14" s="17" t="inlineStr">
        <x:is>
          <x:t xml:space="preserve">Clean general analysis</x:t>
        </x:is>
      </x:c>
      <x:c r="D14" s="17" t="inlineStr">
        <x:is>
          <x:t xml:space="preserve">Required</x:t>
        </x:is>
      </x:c>
      <x:c r="E14" s="17" t="n">
        <x:v>1</x:v>
      </x:c>
      <x:c r="F14" s="17" t="inlineStr">
        <x:is>
          <x:t xml:space="preserve">COPLEY JV 120i/220i DENSITY TESTER</x:t>
        </x:is>
      </x:c>
      <x:c r="G14" s="18" t="inlineStr">
        <x:is>
          <x:t xml:space="preserve">Copley JV 120i or JV 220i</x:t>
        </x:is>
      </x:c>
      <x:c r="H14" s="19" t="n">
        <x:v>10.2</x:v>
      </x:c>
      <x:c r="I14" s="19" t="n">
        <x:v>13.7</x:v>
      </x:c>
      <x:c r="J14" s="19" t="n">
        <x:v>22.1</x:v>
      </x:c>
      <x:c r="K14" s="20" t="n">
        <x:v>11</x:v>
      </x:c>
      <x:c r="L14" s="20" t="n">
        <x:v>14</x:v>
      </x:c>
      <x:c r="M14" s="20" t="n">
        <x:v>24</x:v>
      </x:c>
      <x:c r="N14" s="20" t="n">
        <x:v>24</x:v>
      </x:c>
      <x:c r="O14" s="17" t="inlineStr">
        <x:is>
          <x:t xml:space="preserve">B-T-CLEAN02</x:t>
        </x:is>
      </x:c>
      <x:c r="P14" s="17" t="inlineStr">
        <x:is>
          <x:t xml:space="preserve">USP &lt;616&gt; tapped density; cylinder storage and handling</x:t>
        </x:is>
      </x:c>
      <x:c r="Q14" s="18" t="inlineStr">
        <x:is>
          <x:t xml:space="preserve">120 V service per selected configuration</x:t>
        </x:is>
      </x:c>
      <x:c r="R14" s="18" t="inlineStr">
        <x:is>
          <x:t xml:space="preserve">None</x:t>
        </x:is>
      </x:c>
      <x:c r="S14" s="18" t="inlineStr">
        <x:is>
          <x:t xml:space="preserve">None</x:t>
        </x:is>
      </x:c>
      <x:c r="T14" s="18" t="inlineStr">
        <x:is>
          <x:t xml:space="preserve">Normal HVAC</x:t>
        </x:is>
      </x:c>
      <x:c r="U14" s="17" t="inlineStr">
        <x:is>
          <x:t xml:space="preserve">Stable level bench; away from analytical balances</x:t>
        </x:is>
      </x:c>
      <x:c r="V14" s="17" t="inlineStr">
        <x:is>
          <x:t xml:space="preserve">OEM-verified body with 250 mL cylinder</x:t>
        </x:is>
      </x:c>
      <x:c r="W14" s="18" t="inlineStr">
        <x:is>
          <x:t xml:space="preserve">Copley Scientific official JVi Series page</x:t>
        </x:is>
      </x:c>
      <x:c r="X14" s="21" t="inlineStr">
        <x:is>
          <x:t xml:space="preserve">https://www.copleyscientific.com/pharmaceutical-testing/powder-testing/tapped-density-jvi-series/</x:t>
        </x:is>
      </x:c>
      <x:c r="Y14" s="17" t="inlineStr">
        <x:is>
          <x:t xml:space="preserve">JV 120i and JV 220i are listed with the same exterior dimensions on the official page; confirm attachments/cylinders selected.</x:t>
        </x:is>
      </x:c>
      <x:c r="Z14" s="17" t="inlineStr">
        <x:is>
          <x:t xml:space="preserve">SCENARIO B - EQUIPMENT</x:t>
        </x:is>
      </x:c>
      <x:c r="AA14" s="17" t="inlineStr">
        <x:is>
          <x:t xml:space="preserve">No</x:t>
        </x:is>
      </x:c>
      <x:c r="AB14" s="22" t="n">
        <x:f>IF(OR(H14="",I14=""),"",H14*I14/144)</x:f>
        <x:v>0.9704166666666665</x:v>
      </x:c>
      <x:c r="AC14" s="22" t="n">
        <x:f>IF(OR(M14="",N14=""),"",M14*N14/144)</x:f>
        <x:v>4</x:v>
      </x:c>
      <x:c r="AD14" s="22" t="n">
        <x:f>IF(AA14="Yes",E14*K14*L14/144,0)</x:f>
        <x:v>0</x:v>
      </x:c>
      <x:c r="AE14" s="22" t="n">
        <x:f>IF(OR(K14="",L14=""),"",K14*L14/144)</x:f>
        <x:v>1.0694444444444444</x:v>
      </x:c>
      <x:c r="AF14" s="23" t="str">
        <x:f>IF(LEFT(D14,8)="Required","REQ",IF(LEFT(D14,11)="Conditional","COND",IF(LEFT(D14,8)="Template","TEMPLATE","REF")))</x:f>
        <x:v>REQ</x:v>
      </x:c>
      <x:c r="AG14" s="23" t="str">
        <x:f>IF(OR(ISNUMBER(SEARCH("verify",V14)),ISNUMBER(SEARCH("allowance",V14))),"REVIEW","")</x:f>
      </x:c>
    </x:row>
    <x:row r="15" ht="64" customHeight="1">
      <x:c r="A15" s="17" t="inlineStr">
        <x:is>
          <x:t xml:space="preserve">B-EQ-BAL01</x:t>
        </x:is>
      </x:c>
      <x:c r="B15" s="17" t="inlineStr">
        <x:is>
          <x:t xml:space="preserve">Equipment</x:t>
        </x:is>
      </x:c>
      <x:c r="C15" s="17" t="inlineStr">
        <x:is>
          <x:t xml:space="preserve">Thermal / gravimetric</x:t>
        </x:is>
      </x:c>
      <x:c r="D15" s="17" t="inlineStr">
        <x:is>
          <x:t xml:space="preserve">Required</x:t>
        </x:is>
      </x:c>
      <x:c r="E15" s="17" t="n">
        <x:v>1</x:v>
      </x:c>
      <x:c r="F15" s="17" t="inlineStr">
        <x:is>
          <x:t xml:space="preserve">MA204 BALANCE 1 - MOISTURE / ASH / FIBER</x:t>
        </x:is>
      </x:c>
      <x:c r="G15" s="18" t="inlineStr">
        <x:is>
          <x:t xml:space="preserve">METTLER TOLEDO MA204, P/N 30697411</x:t>
        </x:is>
      </x:c>
      <x:c r="H15" s="19" t="n">
        <x:v>8.199999999999999</x:v>
      </x:c>
      <x:c r="I15" s="19" t="n">
        <x:v>13.9</x:v>
      </x:c>
      <x:c r="J15" s="19" t="n">
        <x:v>13.9</x:v>
      </x:c>
      <x:c r="K15" s="20" t="n">
        <x:v>9</x:v>
      </x:c>
      <x:c r="L15" s="20" t="n">
        <x:v>14</x:v>
      </x:c>
      <x:c r="M15" s="20" t="n">
        <x:v>24</x:v>
      </x:c>
      <x:c r="N15" s="20" t="n">
        <x:v>24</x:v>
      </x:c>
      <x:c r="O15" s="17" t="inlineStr">
        <x:is>
          <x:t xml:space="preserve">B-T-BAL01</x:t>
        </x:is>
      </x:c>
      <x:c r="P15" s="17" t="inlineStr">
        <x:is>
          <x:t xml:space="preserve">Thermal gravimetry after desiccator cooling: moisture, ash and fiber crucibles</x:t>
        </x:is>
      </x:c>
      <x:c r="Q15" s="18" t="inlineStr">
        <x:is>
          <x:t xml:space="preserve">100-240 V, 50/60 Hz</x:t>
        </x:is>
      </x:c>
      <x:c r="R15" s="18" t="inlineStr">
        <x:is>
          <x:t xml:space="preserve">None</x:t>
        </x:is>
      </x:c>
      <x:c r="S15" s="18" t="inlineStr">
        <x:is>
          <x:t xml:space="preserve">None</x:t>
        </x:is>
      </x:c>
      <x:c r="T15" s="18" t="inlineStr">
        <x:is>
          <x:t xml:space="preserve">Avoid drafts; normal controlled HVAC</x:t>
        </x:is>
      </x:c>
      <x:c r="U15" s="17" t="inlineStr">
        <x:is>
          <x:t xml:space="preserve">Near, but not on the same bench as, desiccators; isolated from furnace heat, vibration and traffic</x:t>
        </x:is>
      </x:c>
      <x:c r="V15" s="17" t="inlineStr">
        <x:is>
          <x:t xml:space="preserve">Exact model dimensions corroborated; final GWP/fit-for-purpose review required</x:t>
        </x:is>
      </x:c>
      <x:c r="W15" s="18" t="inlineStr">
        <x:is>
          <x:t xml:space="preserve">METTLER TOLEDO analytical-balance guidance + exact MA204 listing</x:t>
        </x:is>
      </x:c>
      <x:c r="X15" s="21" t="inlineStr">
        <x:is>
          <x:t xml:space="preserve">https://www.labfriend.de/mettler-toledo-analytical-balance-ma204</x:t>
        </x:is>
      </x:c>
      <x:c r="Y15" s="17" t="inlineStr">
        <x:is>
          <x:t xml:space="preserve">Use a dedicated balance table. The 24 x 24 dashed envelope is working/door access, not the physical body.</x:t>
        </x:is>
      </x:c>
      <x:c r="Z15" s="17" t="inlineStr">
        <x:is>
          <x:t xml:space="preserve">SCENARIO B - EQUIPMENT</x:t>
        </x:is>
      </x:c>
      <x:c r="AA15" s="17" t="inlineStr">
        <x:is>
          <x:t xml:space="preserve">No</x:t>
        </x:is>
      </x:c>
      <x:c r="AB15" s="22" t="n">
        <x:f>IF(OR(H15="",I15=""),"",H15*I15/144)</x:f>
        <x:v>0.7915277777777777</x:v>
      </x:c>
      <x:c r="AC15" s="22" t="n">
        <x:f>IF(OR(M15="",N15=""),"",M15*N15/144)</x:f>
        <x:v>4</x:v>
      </x:c>
      <x:c r="AD15" s="22" t="n">
        <x:f>IF(AA15="Yes",E15*K15*L15/144,0)</x:f>
        <x:v>0</x:v>
      </x:c>
      <x:c r="AE15" s="22" t="n">
        <x:f>IF(OR(K15="",L15=""),"",K15*L15/144)</x:f>
        <x:v>0.875</x:v>
      </x:c>
      <x:c r="AF15" s="23" t="str">
        <x:f>IF(LEFT(D15,8)="Required","REQ",IF(LEFT(D15,11)="Conditional","COND",IF(LEFT(D15,8)="Template","TEMPLATE","REF")))</x:f>
        <x:v>REQ</x:v>
      </x:c>
      <x:c r="AG15" s="23" t="str">
        <x:f>IF(OR(ISNUMBER(SEARCH("verify",V15)),ISNUMBER(SEARCH("allowance",V15))),"REVIEW","")</x:f>
      </x:c>
    </x:row>
    <x:row r="16" ht="64" customHeight="1">
      <x:c r="A16" s="17" t="inlineStr">
        <x:is>
          <x:t xml:space="preserve">B-EQ-BAL02</x:t>
        </x:is>
      </x:c>
      <x:c r="B16" s="17" t="inlineStr">
        <x:is>
          <x:t xml:space="preserve">Equipment</x:t>
        </x:is>
      </x:c>
      <x:c r="C16" s="17" t="inlineStr">
        <x:is>
          <x:t xml:space="preserve">Clean general analysis</x:t>
        </x:is>
      </x:c>
      <x:c r="D16" s="17" t="inlineStr">
        <x:is>
          <x:t xml:space="preserve">Required</x:t>
        </x:is>
      </x:c>
      <x:c r="E16" s="17" t="n">
        <x:v>1</x:v>
      </x:c>
      <x:c r="F16" s="17" t="inlineStr">
        <x:is>
          <x:t xml:space="preserve">MA204 BALANCE 2 - SOXHLET / ANALYTICAL PREP</x:t>
        </x:is>
      </x:c>
      <x:c r="G16" s="18" t="inlineStr">
        <x:is>
          <x:t xml:space="preserve">METTLER TOLEDO MA204, P/N 30697411</x:t>
        </x:is>
      </x:c>
      <x:c r="H16" s="19" t="n">
        <x:v>8.199999999999999</x:v>
      </x:c>
      <x:c r="I16" s="19" t="n">
        <x:v>13.9</x:v>
      </x:c>
      <x:c r="J16" s="19" t="n">
        <x:v>13.9</x:v>
      </x:c>
      <x:c r="K16" s="20" t="n">
        <x:v>9</x:v>
      </x:c>
      <x:c r="L16" s="20" t="n">
        <x:v>14</x:v>
      </x:c>
      <x:c r="M16" s="20" t="n">
        <x:v>24</x:v>
      </x:c>
      <x:c r="N16" s="20" t="n">
        <x:v>24</x:v>
      </x:c>
      <x:c r="O16" s="17" t="inlineStr">
        <x:is>
          <x:t xml:space="preserve">B-T-BAL02</x:t>
        </x:is>
      </x:c>
      <x:c r="P16" s="17" t="inlineStr">
        <x:is>
          <x:t xml:space="preserve">Soxhlet gravimetry, standards/reagents, analytical aliquots and backup weighing</x:t>
        </x:is>
      </x:c>
      <x:c r="Q16" s="18" t="inlineStr">
        <x:is>
          <x:t xml:space="preserve">100-240 V, 50/60 Hz</x:t>
        </x:is>
      </x:c>
      <x:c r="R16" s="18" t="inlineStr">
        <x:is>
          <x:t xml:space="preserve">None</x:t>
        </x:is>
      </x:c>
      <x:c r="S16" s="18" t="inlineStr">
        <x:is>
          <x:t xml:space="preserve">None</x:t>
        </x:is>
      </x:c>
      <x:c r="T16" s="18" t="inlineStr">
        <x:is>
          <x:t xml:space="preserve">Avoid drafts; normal controlled HVAC</x:t>
        </x:is>
      </x:c>
      <x:c r="U16" s="17" t="inlineStr">
        <x:is>
          <x:t xml:space="preserve">Clean bench outside solvent hood and away from grinding, sinks, windows, vibration and direct HVAC discharge</x:t>
        </x:is>
      </x:c>
      <x:c r="V16" s="17" t="inlineStr">
        <x:is>
          <x:t xml:space="preserve">Exact model dimensions corroborated; final GWP/fit-for-purpose review required</x:t>
        </x:is>
      </x:c>
      <x:c r="W16" s="18" t="inlineStr">
        <x:is>
          <x:t xml:space="preserve">METTLER TOLEDO analytical-balance guidance + exact MA204 listing</x:t>
        </x:is>
      </x:c>
      <x:c r="X16" s="21" t="inlineStr">
        <x:is>
          <x:t xml:space="preserve">https://www.labfriend.de/mettler-toledo-analytical-balance-ma204</x:t>
        </x:is>
      </x:c>
      <x:c r="Y16" s="17" t="inlineStr">
        <x:is>
          <x:t xml:space="preserve">Do not assume this MA204 replaces the LECO-quoted Sartorius interface balance until LECO confirms compatibility.</x:t>
        </x:is>
      </x:c>
      <x:c r="Z16" s="17" t="inlineStr">
        <x:is>
          <x:t xml:space="preserve">SCENARIO B - EQUIPMENT</x:t>
        </x:is>
      </x:c>
      <x:c r="AA16" s="17" t="inlineStr">
        <x:is>
          <x:t xml:space="preserve">No</x:t>
        </x:is>
      </x:c>
      <x:c r="AB16" s="22" t="n">
        <x:f>IF(OR(H16="",I16=""),"",H16*I16/144)</x:f>
        <x:v>0.7915277777777777</x:v>
      </x:c>
      <x:c r="AC16" s="22" t="n">
        <x:f>IF(OR(M16="",N16=""),"",M16*N16/144)</x:f>
        <x:v>4</x:v>
      </x:c>
      <x:c r="AD16" s="22" t="n">
        <x:f>IF(AA16="Yes",E16*K16*L16/144,0)</x:f>
        <x:v>0</x:v>
      </x:c>
      <x:c r="AE16" s="22" t="n">
        <x:f>IF(OR(K16="",L16=""),"",K16*L16/144)</x:f>
        <x:v>0.875</x:v>
      </x:c>
      <x:c r="AF16" s="23" t="str">
        <x:f>IF(LEFT(D16,8)="Required","REQ",IF(LEFT(D16,11)="Conditional","COND",IF(LEFT(D16,8)="Template","TEMPLATE","REF")))</x:f>
        <x:v>REQ</x:v>
      </x:c>
      <x:c r="AG16" s="23" t="str">
        <x:f>IF(OR(ISNUMBER(SEARCH("verify",V16)),ISNUMBER(SEARCH("allowance",V16))),"REVIEW","")</x:f>
      </x:c>
    </x:row>
    <x:row r="17" ht="64" customHeight="1">
      <x:c r="A17" s="17" t="inlineStr">
        <x:is>
          <x:t xml:space="preserve">B-EQ-MOIST02A</x:t>
        </x:is>
      </x:c>
      <x:c r="B17" s="17" t="inlineStr">
        <x:is>
          <x:t xml:space="preserve">Equipment</x:t>
        </x:is>
      </x:c>
      <x:c r="C17" s="17" t="inlineStr">
        <x:is>
          <x:t xml:space="preserve">Thermal / gravimetric</x:t>
        </x:is>
      </x:c>
      <x:c r="D17" s="17" t="inlineStr">
        <x:is>
          <x:t xml:space="preserve">Required - location decision</x:t>
        </x:is>
      </x:c>
      <x:c r="E17" s="17" t="n">
        <x:v>1</x:v>
      </x:c>
      <x:c r="F17" s="17" t="inlineStr">
        <x:is>
          <x:t xml:space="preserve">HERATHERM OGS100 OVEN</x:t>
        </x:is>
      </x:c>
      <x:c r="G17" s="18" t="inlineStr">
        <x:is>
          <x:t xml:space="preserve">Thermo Scientific Heratherm OGS100, 65 L</x:t>
        </x:is>
      </x:c>
      <x:c r="H17" s="19" t="n">
        <x:v>20.9</x:v>
      </x:c>
      <x:c r="I17" s="19" t="n">
        <x:v>22.2</x:v>
      </x:c>
      <x:c r="J17" s="19" t="n">
        <x:v>28.3</x:v>
      </x:c>
      <x:c r="K17" s="20" t="n">
        <x:v>21</x:v>
      </x:c>
      <x:c r="L17" s="20" t="n">
        <x:v>23</x:v>
      </x:c>
      <x:c r="M17" s="20" t="n">
        <x:v>36</x:v>
      </x:c>
      <x:c r="N17" s="20" t="n">
        <x:v>54</x:v>
      </x:c>
      <x:c r="O17" s="17" t="inlineStr">
        <x:is>
          <x:t xml:space="preserve">B-T-THERM01</x:t>
        </x:is>
      </x:c>
      <x:c r="P17" s="17" t="inlineStr">
        <x:is>
          <x:t xml:space="preserve">ISO 6496 moisture; fiber crucible drying</x:t>
        </x:is>
      </x:c>
      <x:c r="Q17" s="18" t="inlineStr">
        <x:is>
          <x:t xml:space="preserve">120 V, 60 Hz; 14.4 A; 1730 W</x:t>
        </x:is>
      </x:c>
      <x:c r="R17" s="18" t="inlineStr">
        <x:is>
          <x:t xml:space="preserve">None</x:t>
        </x:is>
      </x:c>
      <x:c r="S17" s="18" t="inlineStr">
        <x:is>
          <x:t xml:space="preserve">None</x:t>
        </x:is>
      </x:c>
      <x:c r="T17" s="18" t="inlineStr">
        <x:is>
          <x:t xml:space="preserve">Heat-producing equipment; room exhaust/canopy per facility design</x:t>
        </x:is>
      </x:c>
      <x:c r="U17" s="17" t="inlineStr">
        <x:is>
          <x:t xml:space="preserve">Drying Room preferred if approved; otherwise north/northeast thermal zone</x:t>
        </x:is>
      </x:c>
      <x:c r="V17" s="17" t="inlineStr">
        <x:is>
          <x:t xml:space="preserve">OEM-verified body; final stand and ventilation are field/MEP decisions</x:t>
        </x:is>
      </x:c>
      <x:c r="W17" s="18" t="inlineStr">
        <x:is>
          <x:t xml:space="preserve">Thermo Fisher official OGS100 product page</x:t>
        </x:is>
      </x:c>
      <x:c r="X17" s="21" t="inlineStr">
        <x:is>
          <x:t xml:space="preserve">https://www.thermofisher.com/order/catalog/product/51028112</x:t>
        </x:is>
      </x:c>
      <x:c r="Y17" s="17" t="inlineStr">
        <x:is>
          <x:t xml:space="preserve">The 36 x 54 envelope includes a provisional front-door/loading zone. Preserve hot-item transfer path to desiccators.</x:t>
        </x:is>
      </x:c>
      <x:c r="Z17" s="17" t="inlineStr">
        <x:is>
          <x:t xml:space="preserve">SCENARIO B - EQUIPMENT</x:t>
        </x:is>
      </x:c>
      <x:c r="AA17" s="17" t="inlineStr">
        <x:is>
          <x:t xml:space="preserve">No</x:t>
        </x:is>
      </x:c>
      <x:c r="AB17" s="22" t="n">
        <x:f>IF(OR(H17="",I17=""),"",H17*I17/144)</x:f>
        <x:v>3.222083333333333</x:v>
      </x:c>
      <x:c r="AC17" s="22" t="n">
        <x:f>IF(OR(M17="",N17=""),"",M17*N17/144)</x:f>
        <x:v>13.5</x:v>
      </x:c>
      <x:c r="AD17" s="22" t="n">
        <x:f>IF(AA17="Yes",E17*K17*L17/144,0)</x:f>
        <x:v>0</x:v>
      </x:c>
      <x:c r="AE17" s="22" t="n">
        <x:f>IF(OR(K17="",L17=""),"",K17*L17/144)</x:f>
        <x:v>3.3541666666666665</x:v>
      </x:c>
      <x:c r="AF17" s="23" t="str">
        <x:f>IF(LEFT(D17,8)="Required","REQ",IF(LEFT(D17,11)="Conditional","COND",IF(LEFT(D17,8)="Template","TEMPLATE","REF")))</x:f>
        <x:v>REQ</x:v>
      </x:c>
      <x:c r="AG17" s="23" t="str">
        <x:f>IF(OR(ISNUMBER(SEARCH("verify",V17)),ISNUMBER(SEARCH("allowance",V17))),"REVIEW","")</x:f>
      </x:c>
    </x:row>
    <x:row r="18" ht="64" customHeight="1">
      <x:c r="A18" s="17" t="inlineStr">
        <x:is>
          <x:t xml:space="preserve">B-EQ-MOIST02B</x:t>
        </x:is>
      </x:c>
      <x:c r="B18" s="17" t="inlineStr">
        <x:is>
          <x:t xml:space="preserve">Equipment</x:t>
        </x:is>
      </x:c>
      <x:c r="C18" s="17" t="inlineStr">
        <x:is>
          <x:t xml:space="preserve">Thermal / gravimetric</x:t>
        </x:is>
      </x:c>
      <x:c r="D18" s="17" t="inlineStr">
        <x:is>
          <x:t xml:space="preserve">Required - location decision</x:t>
        </x:is>
      </x:c>
      <x:c r="E18" s="17" t="n">
        <x:v>1</x:v>
      </x:c>
      <x:c r="F18" s="17" t="inlineStr">
        <x:is>
          <x:t xml:space="preserve">THERMOLYNE F6010 MUFFLE FURNACE</x:t>
        </x:is>
      </x:c>
      <x:c r="G18" s="18" t="inlineStr">
        <x:is>
          <x:t xml:space="preserve">Thermo Scientific Thermolyne F6010</x:t>
        </x:is>
      </x:c>
      <x:c r="H18" s="19" t="n">
        <x:v>19.1</x:v>
      </x:c>
      <x:c r="I18" s="19" t="n">
        <x:v>20.1</x:v>
      </x:c>
      <x:c r="J18" s="19" t="n">
        <x:v>21</x:v>
      </x:c>
      <x:c r="K18" s="20" t="n">
        <x:v>20</x:v>
      </x:c>
      <x:c r="L18" s="20" t="n">
        <x:v>21</x:v>
      </x:c>
      <x:c r="M18" s="20" t="n">
        <x:v>36</x:v>
      </x:c>
      <x:c r="N18" s="20" t="n">
        <x:v>54</x:v>
      </x:c>
      <x:c r="O18" s="17" t="inlineStr">
        <x:is>
          <x:t xml:space="preserve">B-T-THERM02</x:t>
        </x:is>
      </x:c>
      <x:c r="P18" s="17" t="inlineStr">
        <x:is>
          <x:t xml:space="preserve">ISO 5984 ash; ISO 6865 post-digestion ashing</x:t>
        </x:is>
      </x:c>
      <x:c r="Q18" s="18" t="inlineStr">
        <x:is>
          <x:t xml:space="preserve">240 V, 50/60 Hz; 12.9 A; 3095 W</x:t>
        </x:is>
      </x:c>
      <x:c r="R18" s="18" t="inlineStr">
        <x:is>
          <x:t xml:space="preserve">None</x:t>
        </x:is>
      </x:c>
      <x:c r="S18" s="18" t="inlineStr">
        <x:is>
          <x:t xml:space="preserve">None</x:t>
        </x:is>
      </x:c>
      <x:c r="T18" s="18" t="inlineStr">
        <x:is>
          <x:t xml:space="preserve">Heat-producing equipment; exhaust/canopy per facility design</x:t>
        </x:is>
      </x:c>
      <x:c r="U18" s="17" t="inlineStr">
        <x:is>
          <x:t xml:space="preserve">Drying Room preferred if approved; separate from solvent/flammables</x:t>
        </x:is>
      </x:c>
      <x:c r="V18" s="17" t="inlineStr">
        <x:is>
          <x:t xml:space="preserve">OEM-verified body; final stand and ventilation are field/MEP decisions</x:t>
        </x:is>
      </x:c>
      <x:c r="W18" s="18" t="inlineStr">
        <x:is>
          <x:t xml:space="preserve">Thermo Fisher official F6010 product page</x:t>
        </x:is>
      </x:c>
      <x:c r="X18" s="21" t="inlineStr">
        <x:is>
          <x:t xml:space="preserve">https://www.thermofisher.com/order/catalog/product/F6010</x:t>
        </x:is>
      </x:c>
      <x:c r="Y18" s="17" t="inlineStr">
        <x:is>
          <x:t xml:space="preserve">The 36 x 54 envelope includes a provisional front-loading and hot-item handling zone.</x:t>
        </x:is>
      </x:c>
      <x:c r="Z18" s="17" t="inlineStr">
        <x:is>
          <x:t xml:space="preserve">SCENARIO B - EQUIPMENT</x:t>
        </x:is>
      </x:c>
      <x:c r="AA18" s="17" t="inlineStr">
        <x:is>
          <x:t xml:space="preserve">No</x:t>
        </x:is>
      </x:c>
      <x:c r="AB18" s="22" t="n">
        <x:f>IF(OR(H18="",I18=""),"",H18*I18/144)</x:f>
        <x:v>2.666041666666667</x:v>
      </x:c>
      <x:c r="AC18" s="22" t="n">
        <x:f>IF(OR(M18="",N18=""),"",M18*N18/144)</x:f>
        <x:v>13.5</x:v>
      </x:c>
      <x:c r="AD18" s="22" t="n">
        <x:f>IF(AA18="Yes",E18*K18*L18/144,0)</x:f>
        <x:v>0</x:v>
      </x:c>
      <x:c r="AE18" s="22" t="n">
        <x:f>IF(OR(K18="",L18=""),"",K18*L18/144)</x:f>
        <x:v>2.9166666666666665</x:v>
      </x:c>
      <x:c r="AF18" s="23" t="str">
        <x:f>IF(LEFT(D18,8)="Required","REQ",IF(LEFT(D18,11)="Conditional","COND",IF(LEFT(D18,8)="Template","TEMPLATE","REF")))</x:f>
        <x:v>REQ</x:v>
      </x:c>
      <x:c r="AG18" s="23" t="str">
        <x:f>IF(OR(ISNUMBER(SEARCH("verify",V18)),ISNUMBER(SEARCH("allowance",V18))),"REVIEW","")</x:f>
      </x:c>
    </x:row>
    <x:row r="19" ht="64" customHeight="1">
      <x:c r="A19" s="17" t="inlineStr">
        <x:is>
          <x:t xml:space="preserve">B-ACC-DES01</x:t>
        </x:is>
      </x:c>
      <x:c r="B19" s="17" t="inlineStr">
        <x:is>
          <x:t xml:space="preserve">Accessory</x:t>
        </x:is>
      </x:c>
      <x:c r="C19" s="17" t="inlineStr">
        <x:is>
          <x:t xml:space="preserve">Thermal / gravimetric</x:t>
        </x:is>
      </x:c>
      <x:c r="D19" s="17" t="inlineStr">
        <x:is>
          <x:t xml:space="preserve">Required</x:t>
        </x:is>
      </x:c>
      <x:c r="E19" s="17" t="n">
        <x:v>1</x:v>
      </x:c>
      <x:c r="F19" s="17" t="inlineStr">
        <x:is>
          <x:t xml:space="preserve">DESICCATOR 1 - MOISTURE / ASH</x:t>
        </x:is>
      </x:c>
      <x:c r="G19" s="18" t="inlineStr">
        <x:is>
          <x:t xml:space="preserve">Laboratory desiccator - model not selected</x:t>
        </x:is>
      </x:c>
      <x:c r="H19" s="19" t="n"/>
      <x:c r="I19" s="19" t="n"/>
      <x:c r="J19" s="19" t="n"/>
      <x:c r="K19" s="20" t="n">
        <x:v>18</x:v>
      </x:c>
      <x:c r="L19" s="20" t="n">
        <x:v>18</x:v>
      </x:c>
      <x:c r="M19" s="20" t="n">
        <x:v>24</x:v>
      </x:c>
      <x:c r="N19" s="20" t="n">
        <x:v>24</x:v>
      </x:c>
      <x:c r="O19" s="17" t="inlineStr">
        <x:is>
          <x:t xml:space="preserve">B-T-DES01</x:t>
        </x:is>
      </x:c>
      <x:c r="P19" s="17" t="inlineStr">
        <x:is>
          <x:t xml:space="preserve">Cooling/staging moisture pans and ash crucibles before BAL-01</x:t>
        </x:is>
      </x:c>
      <x:c r="Q19" s="18" t="inlineStr">
        <x:is>
          <x:t xml:space="preserve">None</x:t>
        </x:is>
      </x:c>
      <x:c r="R19" s="18" t="inlineStr">
        <x:is>
          <x:t xml:space="preserve">None</x:t>
        </x:is>
      </x:c>
      <x:c r="S19" s="18" t="inlineStr">
        <x:is>
          <x:t xml:space="preserve">None</x:t>
        </x:is>
      </x:c>
      <x:c r="T19" s="18" t="inlineStr">
        <x:is>
          <x:t xml:space="preserve">None</x:t>
        </x:is>
      </x:c>
      <x:c r="U19" s="17" t="inlineStr">
        <x:is>
          <x:t xml:space="preserve">On cooling/desiccator bench near thermal cluster but away from heat plume</x:t>
        </x:is>
      </x:c>
      <x:c r="V19" s="17" t="inlineStr">
        <x:is>
          <x:t xml:space="preserve">Planning allowance - model to select</x:t>
        </x:is>
      </x:c>
      <x:c r="W19" s="18" t="inlineStr">
        <x:is>
          <x:t xml:space="preserve">AIT planning decision + Scenario B site requirement for desiccator bench</x:t>
        </x:is>
      </x:c>
      <x:c r="X19" s="18" t="inlineStr">
        <x:is>
          <x:t xml:space="preserve"/>
        </x:is>
      </x:c>
      <x:c r="Y19" s="17" t="inlineStr">
        <x:is>
          <x:t xml:space="preserve">18 x 18 is a planning block, not a selected-product footprint.</x:t>
        </x:is>
      </x:c>
      <x:c r="Z19" s="17" t="inlineStr">
        <x:is>
          <x:t xml:space="preserve">SCENARIO B - EQUIPMENT</x:t>
        </x:is>
      </x:c>
      <x:c r="AA19" s="17" t="inlineStr">
        <x:is>
          <x:t xml:space="preserve">No</x:t>
        </x:is>
      </x:c>
      <x:c r="AB19" s="22" t="str">
        <x:f>IF(OR(H19="",I19=""),"",H19*I19/144)</x:f>
      </x:c>
      <x:c r="AC19" s="22" t="n">
        <x:f>IF(OR(M19="",N19=""),"",M19*N19/144)</x:f>
        <x:v>4</x:v>
      </x:c>
      <x:c r="AD19" s="22" t="n">
        <x:f>IF(AA19="Yes",E19*K19*L19/144,0)</x:f>
        <x:v>0</x:v>
      </x:c>
      <x:c r="AE19" s="22" t="n">
        <x:f>IF(OR(K19="",L19=""),"",K19*L19/144)</x:f>
        <x:v>2.25</x:v>
      </x:c>
      <x:c r="AF19" s="23" t="str">
        <x:f>IF(LEFT(D19,8)="Required","REQ",IF(LEFT(D19,11)="Conditional","COND",IF(LEFT(D19,8)="Template","TEMPLATE","REF")))</x:f>
        <x:v>REQ</x:v>
      </x:c>
      <x:c r="AG19" s="23" t="str">
        <x:f>IF(OR(ISNUMBER(SEARCH("verify",V19)),ISNUMBER(SEARCH("allowance",V19))),"REVIEW","")</x:f>
        <x:v>REVIEW</x:v>
      </x:c>
    </x:row>
    <x:row r="20" ht="64" customHeight="1">
      <x:c r="A20" s="17" t="inlineStr">
        <x:is>
          <x:t xml:space="preserve">B-ACC-DES02</x:t>
        </x:is>
      </x:c>
      <x:c r="B20" s="17" t="inlineStr">
        <x:is>
          <x:t xml:space="preserve">Accessory</x:t>
        </x:is>
      </x:c>
      <x:c r="C20" s="17" t="inlineStr">
        <x:is>
          <x:t xml:space="preserve">Thermal / gravimetric</x:t>
        </x:is>
      </x:c>
      <x:c r="D20" s="17" t="inlineStr">
        <x:is>
          <x:t xml:space="preserve">Required</x:t>
        </x:is>
      </x:c>
      <x:c r="E20" s="17" t="n">
        <x:v>1</x:v>
      </x:c>
      <x:c r="F20" s="17" t="inlineStr">
        <x:is>
          <x:t xml:space="preserve">DESICCATOR 2 - FIBER / OVERFLOW</x:t>
        </x:is>
      </x:c>
      <x:c r="G20" s="18" t="inlineStr">
        <x:is>
          <x:t xml:space="preserve">Laboratory desiccator - model not selected</x:t>
        </x:is>
      </x:c>
      <x:c r="H20" s="19" t="n"/>
      <x:c r="I20" s="19" t="n"/>
      <x:c r="J20" s="19" t="n"/>
      <x:c r="K20" s="20" t="n">
        <x:v>18</x:v>
      </x:c>
      <x:c r="L20" s="20" t="n">
        <x:v>18</x:v>
      </x:c>
      <x:c r="M20" s="20" t="n">
        <x:v>24</x:v>
      </x:c>
      <x:c r="N20" s="20" t="n">
        <x:v>24</x:v>
      </x:c>
      <x:c r="O20" s="17" t="inlineStr">
        <x:is>
          <x:t xml:space="preserve">B-T-DES01</x:t>
        </x:is>
      </x:c>
      <x:c r="P20" s="17" t="inlineStr">
        <x:is>
          <x:t xml:space="preserve">Parallel cooling for fiber crucibles and overflow batches before BAL-01</x:t>
        </x:is>
      </x:c>
      <x:c r="Q20" s="18" t="inlineStr">
        <x:is>
          <x:t xml:space="preserve">None</x:t>
        </x:is>
      </x:c>
      <x:c r="R20" s="18" t="inlineStr">
        <x:is>
          <x:t xml:space="preserve">None</x:t>
        </x:is>
      </x:c>
      <x:c r="S20" s="18" t="inlineStr">
        <x:is>
          <x:t xml:space="preserve">None</x:t>
        </x:is>
      </x:c>
      <x:c r="T20" s="18" t="inlineStr">
        <x:is>
          <x:t xml:space="preserve">None</x:t>
        </x:is>
      </x:c>
      <x:c r="U20" s="17" t="inlineStr">
        <x:is>
          <x:t xml:space="preserve">Beside DES-01 on cooling bench</x:t>
        </x:is>
      </x:c>
      <x:c r="V20" s="17" t="inlineStr">
        <x:is>
          <x:t xml:space="preserve">Planning allowance - model to select</x:t>
        </x:is>
      </x:c>
      <x:c r="W20" s="18" t="inlineStr">
        <x:is>
          <x:t xml:space="preserve">AIT planning decision + Scenario B site requirement for desiccator bench</x:t>
        </x:is>
      </x:c>
      <x:c r="X20" s="18" t="inlineStr">
        <x:is>
          <x:t xml:space="preserve"/>
        </x:is>
      </x:c>
      <x:c r="Y20" s="17" t="inlineStr">
        <x:is>
          <x:t xml:space="preserve">Keep separately movable and separately labeled.</x:t>
        </x:is>
      </x:c>
      <x:c r="Z20" s="17" t="inlineStr">
        <x:is>
          <x:t xml:space="preserve">SCENARIO B - EQUIPMENT</x:t>
        </x:is>
      </x:c>
      <x:c r="AA20" s="17" t="inlineStr">
        <x:is>
          <x:t xml:space="preserve">No</x:t>
        </x:is>
      </x:c>
      <x:c r="AB20" s="22" t="str">
        <x:f>IF(OR(H20="",I20=""),"",H20*I20/144)</x:f>
      </x:c>
      <x:c r="AC20" s="22" t="n">
        <x:f>IF(OR(M20="",N20=""),"",M20*N20/144)</x:f>
        <x:v>4</x:v>
      </x:c>
      <x:c r="AD20" s="22" t="n">
        <x:f>IF(AA20="Yes",E20*K20*L20/144,0)</x:f>
        <x:v>0</x:v>
      </x:c>
      <x:c r="AE20" s="22" t="n">
        <x:f>IF(OR(K20="",L20=""),"",K20*L20/144)</x:f>
        <x:v>2.25</x:v>
      </x:c>
      <x:c r="AF20" s="23" t="str">
        <x:f>IF(LEFT(D20,8)="Required","REQ",IF(LEFT(D20,11)="Conditional","COND",IF(LEFT(D20,8)="Template","TEMPLATE","REF")))</x:f>
        <x:v>REQ</x:v>
      </x:c>
      <x:c r="AG20" s="23" t="str">
        <x:f>IF(OR(ISNUMBER(SEARCH("verify",V20)),ISNUMBER(SEARCH("allowance",V20))),"REVIEW","")</x:f>
        <x:v>REVIEW</x:v>
      </x:c>
    </x:row>
    <x:row r="21" ht="64" customHeight="1">
      <x:c r="A21" s="17" t="inlineStr">
        <x:is>
          <x:t xml:space="preserve">B-EQ-PROT01</x:t>
        </x:is>
      </x:c>
      <x:c r="B21" s="17" t="inlineStr">
        <x:is>
          <x:t xml:space="preserve">Equipment</x:t>
        </x:is>
      </x:c>
      <x:c r="C21" s="17" t="inlineStr">
        <x:is>
          <x:t xml:space="preserve">Clean instrument</x:t>
        </x:is>
      </x:c>
      <x:c r="D21" s="17" t="inlineStr">
        <x:is>
          <x:t xml:space="preserve">Required</x:t>
        </x:is>
      </x:c>
      <x:c r="E21" s="17" t="n">
        <x:v>1</x:v>
      </x:c>
      <x:c r="F21" s="17" t="inlineStr">
        <x:is>
          <x:t xml:space="preserve">LECO FP828 / 828P CONFIGURATION</x:t>
        </x:is>
      </x:c>
      <x:c r="G21" s="18" t="inlineStr">
        <x:is>
          <x:t xml:space="preserve">LECO FP828 Performance with 30-sample autoloader, boom touchscreen and PC</x:t>
        </x:is>
      </x:c>
      <x:c r="H21" s="19" t="n"/>
      <x:c r="I21" s="19" t="n"/>
      <x:c r="J21" s="19" t="n"/>
      <x:c r="K21" s="20" t="n">
        <x:v>60</x:v>
      </x:c>
      <x:c r="L21" s="20" t="n">
        <x:v>30</x:v>
      </x:c>
      <x:c r="M21" s="20" t="n">
        <x:v>96</x:v>
      </x:c>
      <x:c r="N21" s="20" t="n">
        <x:v>60</x:v>
      </x:c>
      <x:c r="O21" s="17" t="inlineStr">
        <x:is>
          <x:t xml:space="preserve">B-T-LECO01</x:t>
        </x:is>
      </x:c>
      <x:c r="P21" s="17" t="inlineStr">
        <x:is>
          <x:t xml:space="preserve">ISO 16634-1 Dumas nitrogen/protein</x:t>
        </x:is>
      </x:c>
      <x:c r="Q21" s="18" t="inlineStr">
        <x:is>
          <x:t xml:space="preserve">208-240 V dedicated per project workbook; confirm exact configured load</x:t>
        </x:is>
      </x:c>
      <x:c r="R21" s="18" t="inlineStr">
        <x:is>
          <x:t xml:space="preserve">None</x:t>
        </x:is>
      </x:c>
      <x:c r="S21" s="18" t="inlineStr">
        <x:is>
          <x:t xml:space="preserve">Oxygen and carrier gas per final ISO method configuration</x:t>
        </x:is>
      </x:c>
      <x:c r="T21" s="18" t="inlineStr">
        <x:is>
          <x:t xml:space="preserve">Combustion exhaust per LECO pre-installation guide</x:t>
        </x:is>
      </x:c>
      <x:c r="U21" s="17" t="inlineStr">
        <x:is>
          <x:t xml:space="preserve">Clean instrument zone away from grinding dust, sink splash and solvent/acid handling</x:t>
        </x:is>
      </x:c>
      <x:c r="V21" s="17" t="inlineStr">
        <x:is>
          <x:t xml:space="preserve">Provisional body block; exact configured footprint and clearances required from LECO</x:t>
        </x:is>
      </x:c>
      <x:c r="W21" s="18" t="inlineStr">
        <x:is>
          <x:t xml:space="preserve">LECO official 828 page + user-supplied quotation 144186-0</x:t>
        </x:is>
      </x:c>
      <x:c r="X21" s="21" t="inlineStr">
        <x:is>
          <x:t xml:space="preserve">https://www.leco.com/products/828-series/</x:t>
        </x:is>
      </x:c>
      <x:c r="Y21" s="17" t="inlineStr">
        <x:is>
          <x:t xml:space="preserve">Quote includes 30-sample autoloader, boom-mounted touchscreen and PC. The 60 x 30 body and 96 x 60 envelope are planning allowances only.</x:t>
        </x:is>
      </x:c>
      <x:c r="Z21" s="17" t="inlineStr">
        <x:is>
          <x:t xml:space="preserve">SCENARIO B - EQUIPMENT</x:t>
        </x:is>
      </x:c>
      <x:c r="AA21" s="17" t="inlineStr">
        <x:is>
          <x:t xml:space="preserve">No</x:t>
        </x:is>
      </x:c>
      <x:c r="AB21" s="22" t="str">
        <x:f>IF(OR(H21="",I21=""),"",H21*I21/144)</x:f>
      </x:c>
      <x:c r="AC21" s="22" t="n">
        <x:f>IF(OR(M21="",N21=""),"",M21*N21/144)</x:f>
        <x:v>40</x:v>
      </x:c>
      <x:c r="AD21" s="22" t="n">
        <x:f>IF(AA21="Yes",E21*K21*L21/144,0)</x:f>
        <x:v>0</x:v>
      </x:c>
      <x:c r="AE21" s="22" t="n">
        <x:f>IF(OR(K21="",L21=""),"",K21*L21/144)</x:f>
        <x:v>12.5</x:v>
      </x:c>
      <x:c r="AF21" s="23" t="str">
        <x:f>IF(LEFT(D21,8)="Required","REQ",IF(LEFT(D21,11)="Conditional","COND",IF(LEFT(D21,8)="Template","TEMPLATE","REF")))</x:f>
        <x:v>REQ</x:v>
      </x:c>
      <x:c r="AG21" s="23" t="str">
        <x:f>IF(OR(ISNUMBER(SEARCH("verify",V21)),ISNUMBER(SEARCH("allowance",V21))),"REVIEW","")</x:f>
      </x:c>
    </x:row>
    <x:row r="22" ht="64" customHeight="1">
      <x:c r="A22" s="17" t="inlineStr">
        <x:is>
          <x:t xml:space="preserve">B-OPT-BAL03</x:t>
        </x:is>
      </x:c>
      <x:c r="B22" s="17" t="inlineStr">
        <x:is>
          <x:t xml:space="preserve">Conditional equipment</x:t>
        </x:is>
      </x:c>
      <x:c r="C22" s="17" t="inlineStr">
        <x:is>
          <x:t xml:space="preserve">Clean instrument</x:t>
        </x:is>
      </x:c>
      <x:c r="D22" s="17" t="inlineStr">
        <x:is>
          <x:t xml:space="preserve">Conditional - do not place unless retained</x:t>
        </x:is>
      </x:c>
      <x:c r="E22" s="17" t="n">
        <x:v>1</x:v>
      </x:c>
      <x:c r="F22" s="17" t="inlineStr">
        <x:is>
          <x:t xml:space="preserve">LECO-QUOTED SARTORIUS ENTRIS II BALANCE</x:t>
        </x:is>
      </x:c>
      <x:c r="G22" s="18" t="inlineStr">
        <x:is>
          <x:t xml:space="preserve">Sartorius Entris II 124i, 120 g / 0.1 mg, LECO interface kit</x:t>
        </x:is>
      </x:c>
      <x:c r="H22" s="19" t="n"/>
      <x:c r="I22" s="19" t="n"/>
      <x:c r="J22" s="19" t="n"/>
      <x:c r="K22" s="20" t="n">
        <x:v>18</x:v>
      </x:c>
      <x:c r="L22" s="20" t="n">
        <x:v>18</x:v>
      </x:c>
      <x:c r="M22" s="20" t="n">
        <x:v>24</x:v>
      </x:c>
      <x:c r="N22" s="20" t="n">
        <x:v>24</x:v>
      </x:c>
      <x:c r="O22" s="17" t="inlineStr">
        <x:is>
          <x:t xml:space="preserve">B-T-LECO01</x:t>
        </x:is>
      </x:c>
      <x:c r="P22" s="17" t="inlineStr">
        <x:is>
          <x:t xml:space="preserve">Dedicated LECO sample weighing/interface if retained in purchase package</x:t>
        </x:is>
      </x:c>
      <x:c r="Q22" s="18" t="inlineStr">
        <x:is>
          <x:t xml:space="preserve">Confirm with LECO/Sartorius</x:t>
        </x:is>
      </x:c>
      <x:c r="R22" s="18" t="inlineStr">
        <x:is>
          <x:t xml:space="preserve">None</x:t>
        </x:is>
      </x:c>
      <x:c r="S22" s="18" t="inlineStr">
        <x:is>
          <x:t xml:space="preserve">None</x:t>
        </x:is>
      </x:c>
      <x:c r="T22" s="18" t="inlineStr">
        <x:is>
          <x:t xml:space="preserve">Avoid drafts</x:t>
        </x:is>
      </x:c>
      <x:c r="U22" s="17" t="inlineStr">
        <x:is>
          <x:t xml:space="preserve">On or immediately adjacent to the LECO bench</x:t>
        </x:is>
      </x:c>
      <x:c r="V22" s="17" t="inlineStr">
        <x:is>
          <x:t xml:space="preserve">Procurement/interface decision required</x:t>
        </x:is>
      </x:c>
      <x:c r="W22" s="18" t="inlineStr">
        <x:is>
          <x:t xml:space="preserve">User-supplied LECO quotation 144186-0</x:t>
        </x:is>
      </x:c>
      <x:c r="X22" s="18" t="inlineStr">
        <x:is>
          <x:t xml:space="preserve"/>
        </x:is>
      </x:c>
      <x:c r="Y22" s="17" t="inlineStr">
        <x:is>
          <x:t xml:space="preserve">The LECO quote includes this balance. Do not remove it from procurement or replace it with MA204-02 until LECO confirms compatibility and workflow requirements.</x:t>
        </x:is>
      </x:c>
      <x:c r="Z22" s="17" t="inlineStr">
        <x:is>
          <x:t xml:space="preserve">SCENARIO B - EQUIPMENT</x:t>
        </x:is>
      </x:c>
      <x:c r="AA22" s="17" t="inlineStr">
        <x:is>
          <x:t xml:space="preserve">No</x:t>
        </x:is>
      </x:c>
      <x:c r="AB22" s="22" t="str">
        <x:f>IF(OR(H22="",I22=""),"",H22*I22/144)</x:f>
      </x:c>
      <x:c r="AC22" s="22" t="n">
        <x:f>IF(OR(M22="",N22=""),"",M22*N22/144)</x:f>
        <x:v>4</x:v>
      </x:c>
      <x:c r="AD22" s="22" t="n">
        <x:f>IF(AA22="Yes",E22*K22*L22/144,0)</x:f>
        <x:v>0</x:v>
      </x:c>
      <x:c r="AE22" s="22" t="n">
        <x:f>IF(OR(K22="",L22=""),"",K22*L22/144)</x:f>
        <x:v>2.25</x:v>
      </x:c>
      <x:c r="AF22" s="23" t="str">
        <x:f>IF(LEFT(D22,8)="Required","REQ",IF(LEFT(D22,11)="Conditional","COND",IF(LEFT(D22,8)="Template","TEMPLATE","REF")))</x:f>
        <x:v>COND</x:v>
      </x:c>
      <x:c r="AG22" s="23" t="str">
        <x:f>IF(OR(ISNUMBER(SEARCH("verify",V22)),ISNUMBER(SEARCH("allowance",V22))),"REVIEW","")</x:f>
      </x:c>
    </x:row>
    <x:row r="23" ht="64" customHeight="1">
      <x:c r="A23" s="17" t="inlineStr">
        <x:is>
          <x:t xml:space="preserve">B-EQ-FAT06</x:t>
        </x:is>
      </x:c>
      <x:c r="B23" s="17" t="inlineStr">
        <x:is>
          <x:t xml:space="preserve">Equipment</x:t>
        </x:is>
      </x:c>
      <x:c r="C23" s="17" t="inlineStr">
        <x:is>
          <x:t xml:space="preserve">Solvent extraction</x:t>
        </x:is>
      </x:c>
      <x:c r="D23" s="17" t="inlineStr">
        <x:is>
          <x:t xml:space="preserve">Required</x:t>
        </x:is>
      </x:c>
      <x:c r="E23" s="17" t="n">
        <x:v>1</x:v>
      </x:c>
      <x:c r="F23" s="17" t="inlineStr">
        <x:is>
          <x:t xml:space="preserve">CONVENTIONAL SOXHLET ASSEMBLY - POSITION COUNT VERIFY</x:t>
        </x:is>
      </x:c>
      <x:c r="G23" s="18" t="inlineStr">
        <x:is>
          <x:t xml:space="preserve">Conventional Soxhlet glassware, heating mantles, condensers and recovery</x:t>
        </x:is>
      </x:c>
      <x:c r="H23" s="19" t="n"/>
      <x:c r="I23" s="19" t="n"/>
      <x:c r="J23" s="19" t="n"/>
      <x:c r="K23" s="20" t="n">
        <x:v>72</x:v>
      </x:c>
      <x:c r="L23" s="20" t="n">
        <x:v>24</x:v>
      </x:c>
      <x:c r="M23" s="20" t="n">
        <x:v>96</x:v>
      </x:c>
      <x:c r="N23" s="20" t="n">
        <x:v>36</x:v>
      </x:c>
      <x:c r="O23" s="17" t="inlineStr">
        <x:is>
          <x:t xml:space="preserve">B-HOOD-SOX01</x:t>
        </x:is>
      </x:c>
      <x:c r="P23" s="17" t="inlineStr">
        <x:is>
          <x:t xml:space="preserve">ISO 6492 Procedure A crude fat/oil; gravimetry at BAL-02</x:t>
        </x:is>
      </x:c>
      <x:c r="Q23" s="18" t="inlineStr">
        <x:is>
          <x:t xml:space="preserve">Confirm mantle/heater circuits; workbook planning basis is typically 208-240 V</x:t>
        </x:is>
      </x:c>
      <x:c r="R23" s="18" t="inlineStr">
        <x:is>
          <x:t xml:space="preserve">Cooling-water supply/return or recirculator and solvent-waste handling</x:t>
        </x:is>
      </x:c>
      <x:c r="S23" s="18" t="inlineStr">
        <x:is>
          <x:t xml:space="preserve">None</x:t>
        </x:is>
      </x:c>
      <x:c r="T23" s="18" t="inlineStr">
        <x:is>
          <x:t xml:space="preserve">Interlocked solvent fume hood/exhaust</x:t>
        </x:is>
      </x:c>
      <x:c r="U23" s="17" t="inlineStr">
        <x:is>
          <x:t xml:space="preserve">Near east utility spine, separated from furnace/heat and ignition sources</x:t>
        </x:is>
      </x:c>
      <x:c r="V23" s="17" t="inlineStr">
        <x:is>
          <x:t xml:space="preserve">Provisional configuration block; extraction position count and hood design required</x:t>
        </x:is>
      </x:c>
      <x:c r="W23" s="18" t="inlineStr">
        <x:is>
          <x:t xml:space="preserve">Scenario B workbook FAT-06 and site requirements</x:t>
        </x:is>
      </x:c>
      <x:c r="X23" s="18" t="inlineStr">
        <x:is>
          <x:t xml:space="preserve"/>
        </x:is>
      </x:c>
      <x:c r="Y23" s="17" t="inlineStr">
        <x:is>
          <x:t xml:space="preserve">Do not infer a six-position system from the label. The 72 x 24 inner block is only a planning placeholder inside the 96 x 36 hood.</x:t>
        </x:is>
      </x:c>
      <x:c r="Z23" s="17" t="inlineStr">
        <x:is>
          <x:t xml:space="preserve">SCENARIO B - EQUIPMENT</x:t>
        </x:is>
      </x:c>
      <x:c r="AA23" s="17" t="inlineStr">
        <x:is>
          <x:t xml:space="preserve">No</x:t>
        </x:is>
      </x:c>
      <x:c r="AB23" s="22" t="str">
        <x:f>IF(OR(H23="",I23=""),"",H23*I23/144)</x:f>
      </x:c>
      <x:c r="AC23" s="22" t="n">
        <x:f>IF(OR(M23="",N23=""),"",M23*N23/144)</x:f>
        <x:v>24</x:v>
      </x:c>
      <x:c r="AD23" s="22" t="n">
        <x:f>IF(AA23="Yes",E23*K23*L23/144,0)</x:f>
        <x:v>0</x:v>
      </x:c>
      <x:c r="AE23" s="22" t="n">
        <x:f>IF(OR(K23="",L23=""),"",K23*L23/144)</x:f>
        <x:v>12</x:v>
      </x:c>
      <x:c r="AF23" s="23" t="str">
        <x:f>IF(LEFT(D23,8)="Required","REQ",IF(LEFT(D23,11)="Conditional","COND",IF(LEFT(D23,8)="Template","TEMPLATE","REF")))</x:f>
        <x:v>REQ</x:v>
      </x:c>
      <x:c r="AG23" s="23" t="str">
        <x:f>IF(OR(ISNUMBER(SEARCH("verify",V23)),ISNUMBER(SEARCH("allowance",V23))),"REVIEW","")</x:f>
      </x:c>
    </x:row>
    <x:row r="24" ht="64" customHeight="1">
      <x:c r="A24" s="17" t="inlineStr">
        <x:is>
          <x:t xml:space="preserve">B-EQ-FIBER03</x:t>
        </x:is>
      </x:c>
      <x:c r="B24" s="17" t="inlineStr">
        <x:is>
          <x:t xml:space="preserve">Equipment</x:t>
        </x:is>
      </x:c>
      <x:c r="C24" s="17" t="inlineStr">
        <x:is>
          <x:t xml:space="preserve">Wet chemistry / fiber</x:t>
        </x:is>
      </x:c>
      <x:c r="D24" s="17" t="inlineStr">
        <x:is>
          <x:t xml:space="preserve">Required</x:t>
        </x:is>
      </x:c>
      <x:c r="E24" s="17" t="n">
        <x:v>1</x:v>
      </x:c>
      <x:c r="F24" s="17" t="inlineStr">
        <x:is>
          <x:t xml:space="preserve">VELP FIWE 6 FIBER ANALYZER</x:t>
        </x:is>
      </x:c>
      <x:c r="G24" s="18" t="inlineStr">
        <x:is>
          <x:t xml:space="preserve">VELP FIWE 6</x:t>
        </x:is>
      </x:c>
      <x:c r="H24" s="19" t="n">
        <x:v>29.5</x:v>
      </x:c>
      <x:c r="I24" s="19" t="n">
        <x:v>15.4</x:v>
      </x:c>
      <x:c r="J24" s="19" t="n">
        <x:v>24.4</x:v>
      </x:c>
      <x:c r="K24" s="20" t="n">
        <x:v>30</x:v>
      </x:c>
      <x:c r="L24" s="20" t="n">
        <x:v>16</x:v>
      </x:c>
      <x:c r="M24" s="20" t="n">
        <x:v>48</x:v>
      </x:c>
      <x:c r="N24" s="20" t="n">
        <x:v>30</x:v>
      </x:c>
      <x:c r="O24" s="17" t="inlineStr">
        <x:is>
          <x:t xml:space="preserve">B-T-FIBER01</x:t>
        </x:is>
      </x:c>
      <x:c r="P24" s="17" t="inlineStr">
        <x:is>
          <x:t xml:space="preserve">ISO 6865 crude fiber and customer-agreed NDF/ADF workflow</x:t>
        </x:is>
      </x:c>
      <x:c r="Q24" s="18" t="inlineStr">
        <x:is>
          <x:t xml:space="preserve">Selected-voltage model; 1200 W</x:t>
        </x:is>
      </x:c>
      <x:c r="R24" s="18" t="inlineStr">
        <x:is>
          <x:t xml:space="preserve">Cooling/reagent water and separate outlets/drain; branch from east utility hub</x:t>
        </x:is>
      </x:c>
      <x:c r="S24" s="18" t="inlineStr">
        <x:is>
          <x:t xml:space="preserve">None</x:t>
        </x:is>
      </x:c>
      <x:c r="T24" s="18" t="inlineStr">
        <x:is>
          <x:t xml:space="preserve">Acid/alkali handling; hood-adjacent siting helpful</x:t>
        </x:is>
      </x:c>
      <x:c r="U24" s="17" t="inlineStr">
        <x:is>
          <x:t xml:space="preserve">Immediately adjacent to east-side plumbing/wash utility zone; direct path to oven/furnace/desiccators</x:t>
        </x:is>
      </x:c>
      <x:c r="V24" s="17" t="inlineStr">
        <x:is>
          <x:t xml:space="preserve">OEM-verified body</x:t>
        </x:is>
      </x:c>
      <x:c r="W24" s="18" t="inlineStr">
        <x:is>
          <x:t xml:space="preserve">VELP official FIWE technical data</x:t>
        </x:is>
      </x:c>
      <x:c r="X24" s="21" t="inlineStr">
        <x:is>
          <x:t xml:space="preserve">https://www.velp.com/en-ww/fiwe-fiber-analyzers.aspx</x:t>
        </x:is>
      </x:c>
      <x:c r="Y24" s="17" t="inlineStr">
        <x:is>
          <x:t xml:space="preserve">Use an open corrosion-resistant bench so tubing, drains and service access remain reachable.</x:t>
        </x:is>
      </x:c>
      <x:c r="Z24" s="17" t="inlineStr">
        <x:is>
          <x:t xml:space="preserve">SCENARIO B - EQUIPMENT</x:t>
        </x:is>
      </x:c>
      <x:c r="AA24" s="17" t="inlineStr">
        <x:is>
          <x:t xml:space="preserve">No</x:t>
        </x:is>
      </x:c>
      <x:c r="AB24" s="22" t="n">
        <x:f>IF(OR(H24="",I24=""),"",H24*I24/144)</x:f>
        <x:v>3.1548611111111113</x:v>
      </x:c>
      <x:c r="AC24" s="22" t="n">
        <x:f>IF(OR(M24="",N24=""),"",M24*N24/144)</x:f>
        <x:v>10</x:v>
      </x:c>
      <x:c r="AD24" s="22" t="n">
        <x:f>IF(AA24="Yes",E24*K24*L24/144,0)</x:f>
        <x:v>0</x:v>
      </x:c>
      <x:c r="AE24" s="22" t="n">
        <x:f>IF(OR(K24="",L24=""),"",K24*L24/144)</x:f>
        <x:v>3.3333333333333335</x:v>
      </x:c>
      <x:c r="AF24" s="23" t="str">
        <x:f>IF(LEFT(D24,8)="Required","REQ",IF(LEFT(D24,11)="Conditional","COND",IF(LEFT(D24,8)="Template","TEMPLATE","REF")))</x:f>
        <x:v>REQ</x:v>
      </x:c>
      <x:c r="AG24" s="23" t="str">
        <x:f>IF(OR(ISNUMBER(SEARCH("verify",V24)),ISNUMBER(SEARCH("allowance",V24))),"REVIEW","")</x:f>
      </x:c>
    </x:row>
    <x:row r="25" ht="64" customHeight="1">
      <x:c r="A25" s="17" t="inlineStr">
        <x:is>
          <x:t xml:space="preserve">B-EQ-AA02</x:t>
        </x:is>
      </x:c>
      <x:c r="B25" s="17" t="inlineStr">
        <x:is>
          <x:t xml:space="preserve">Equipment</x:t>
        </x:is>
      </x:c>
      <x:c r="C25" s="17" t="inlineStr">
        <x:is>
          <x:t xml:space="preserve">Clean instrument</x:t>
        </x:is>
      </x:c>
      <x:c r="D25" s="17" t="inlineStr">
        <x:is>
          <x:t xml:space="preserve">Required</x:t>
        </x:is>
      </x:c>
      <x:c r="E25" s="17" t="n">
        <x:v>1</x:v>
      </x:c>
      <x:c r="F25" s="17" t="inlineStr">
        <x:is>
          <x:t xml:space="preserve">SYKAM S 433 AMINO ACID SYSTEM - OEM FOOTPRINT VERIFY</x:t>
        </x:is>
      </x:c>
      <x:c r="G25" s="18" t="inlineStr">
        <x:is>
          <x:t xml:space="preserve">Sykam S 433 Amino Acid Analyzer</x:t>
        </x:is>
      </x:c>
      <x:c r="H25" s="19" t="n"/>
      <x:c r="I25" s="19" t="n"/>
      <x:c r="J25" s="19" t="n"/>
      <x:c r="K25" s="20" t="n">
        <x:v>72</x:v>
      </x:c>
      <x:c r="L25" s="20" t="n">
        <x:v>30</x:v>
      </x:c>
      <x:c r="M25" s="20" t="n">
        <x:v>108</x:v>
      </x:c>
      <x:c r="N25" s="20" t="n">
        <x:v>60</x:v>
      </x:c>
      <x:c r="O25" s="17" t="inlineStr">
        <x:is>
          <x:t xml:space="preserve">B-T-SYKAM01</x:t>
        </x:is>
      </x:c>
      <x:c r="P25" s="17" t="inlineStr">
        <x:is>
          <x:t xml:space="preserve">Amino acid profile; prepared hydrolysates from AA prep</x:t>
        </x:is>
      </x:c>
      <x:c r="Q25" s="18" t="inlineStr">
        <x:is>
          <x:t xml:space="preserve">120 V or 208-240 V by configured modules; UPS recommended</x:t>
        </x:is>
      </x:c>
      <x:c r="R25" s="18" t="inlineStr">
        <x:is>
          <x:t xml:space="preserve">DI water nearby helpful; confirm direct connections</x:t>
        </x:is>
      </x:c>
      <x:c r="S25" s="18" t="inlineStr">
        <x:is>
          <x:t xml:space="preserve">Nitrogen applies primarily to evaporation prep if used</x:t>
        </x:is>
      </x:c>
      <x:c r="T25" s="18" t="inlineStr">
        <x:is>
          <x:t xml:space="preserve">Clean instrument HVAC; keep separate from dust</x:t>
        </x:is>
      </x:c>
      <x:c r="U25" s="17" t="inlineStr">
        <x:is>
          <x:t xml:space="preserve">Protected clean instrument zone with reagent/buffer access and network/data</x:t>
        </x:is>
      </x:c>
      <x:c r="V25" s="17" t="inlineStr">
        <x:is>
          <x:t xml:space="preserve">Provisional modular system block; obtain configured OEM site plan</x:t>
        </x:is>
      </x:c>
      <x:c r="W25" s="18" t="inlineStr">
        <x:is>
          <x:t xml:space="preserve">Sykam official S 433 page + Scenario B workbook</x:t>
        </x:is>
      </x:c>
      <x:c r="X25" s="21" t="inlineStr">
        <x:is>
          <x:t xml:space="preserve">https://sykam.com/product/amino-acid-analyzers/s-433-amino-acid-analyzer/</x:t>
        </x:is>
      </x:c>
      <x:c r="Y25" s="17" t="inlineStr">
        <x:is>
          <x:t xml:space="preserve">The complete system is modular. Do not replace the 72 x 30 planning block with an invented single-chassis footprint.</x:t>
        </x:is>
      </x:c>
      <x:c r="Z25" s="17" t="inlineStr">
        <x:is>
          <x:t xml:space="preserve">SCENARIO B - EQUIPMENT</x:t>
        </x:is>
      </x:c>
      <x:c r="AA25" s="17" t="inlineStr">
        <x:is>
          <x:t xml:space="preserve">No</x:t>
        </x:is>
      </x:c>
      <x:c r="AB25" s="22" t="str">
        <x:f>IF(OR(H25="",I25=""),"",H25*I25/144)</x:f>
      </x:c>
      <x:c r="AC25" s="22" t="n">
        <x:f>IF(OR(M25="",N25=""),"",M25*N25/144)</x:f>
        <x:v>45</x:v>
      </x:c>
      <x:c r="AD25" s="22" t="n">
        <x:f>IF(AA25="Yes",E25*K25*L25/144,0)</x:f>
        <x:v>0</x:v>
      </x:c>
      <x:c r="AE25" s="22" t="n">
        <x:f>IF(OR(K25="",L25=""),"",K25*L25/144)</x:f>
        <x:v>15</x:v>
      </x:c>
      <x:c r="AF25" s="23" t="str">
        <x:f>IF(LEFT(D25,8)="Required","REQ",IF(LEFT(D25,11)="Conditional","COND",IF(LEFT(D25,8)="Template","TEMPLATE","REF")))</x:f>
        <x:v>REQ</x:v>
      </x:c>
      <x:c r="AG25" s="23" t="str">
        <x:f>IF(OR(ISNUMBER(SEARCH("verify",V25)),ISNUMBER(SEARCH("allowance",V25))),"REVIEW","")</x:f>
      </x:c>
    </x:row>
    <x:row r="26" ht="64" customHeight="1">
      <x:c r="A26" s="17" t="inlineStr">
        <x:is>
          <x:t xml:space="preserve">B-EQ-AAPREP01</x:t>
        </x:is>
      </x:c>
      <x:c r="B26" s="17" t="inlineStr">
        <x:is>
          <x:t xml:space="preserve">Equipment</x:t>
        </x:is>
      </x:c>
      <x:c r="C26" s="17" t="inlineStr">
        <x:is>
          <x:t xml:space="preserve">Wet chemistry / acid prep</x:t>
        </x:is>
      </x:c>
      <x:c r="D26" s="17" t="inlineStr">
        <x:is>
          <x:t xml:space="preserve">Required</x:t>
        </x:is>
      </x:c>
      <x:c r="E26" s="17" t="n">
        <x:v>1</x:v>
      </x:c>
      <x:c r="F26" s="17" t="inlineStr">
        <x:is>
          <x:t xml:space="preserve">AMINO ACID HYDROLYSIS / EVAPORATION PREP</x:t>
        </x:is>
      </x:c>
      <x:c r="G26" s="18" t="inlineStr">
        <x:is>
          <x:t xml:space="preserve">Dedicated vessels, nitrogen evaporator and hydrolysis block; Multiwave remains existing</x:t>
        </x:is>
      </x:c>
      <x:c r="H26" s="19" t="n"/>
      <x:c r="I26" s="19" t="n"/>
      <x:c r="J26" s="19" t="n"/>
      <x:c r="K26" s="20" t="n">
        <x:v>60</x:v>
      </x:c>
      <x:c r="L26" s="20" t="n">
        <x:v>24</x:v>
      </x:c>
      <x:c r="M26" s="20" t="n">
        <x:v>72</x:v>
      </x:c>
      <x:c r="N26" s="20" t="n">
        <x:v>36</x:v>
      </x:c>
      <x:c r="O26" s="17" t="inlineStr">
        <x:is>
          <x:t xml:space="preserve">B-HOOD-AA01</x:t>
        </x:is>
      </x:c>
      <x:c r="P26" s="17" t="inlineStr">
        <x:is>
          <x:t xml:space="preserve">Acid/alkaline hydrolysis and evaporation before Sykam analysis</x:t>
        </x:is>
      </x:c>
      <x:c r="Q26" s="18" t="inlineStr">
        <x:is>
          <x:t xml:space="preserve">120 V/208-240 V by selected evaporator/block</x:t>
        </x:is>
      </x:c>
      <x:c r="R26" s="18" t="inlineStr">
        <x:is>
          <x:t xml:space="preserve">Sink access and chemical-resistant waste handling</x:t>
        </x:is>
      </x:c>
      <x:c r="S26" s="18" t="inlineStr">
        <x:is>
          <x:t xml:space="preserve">Nitrogen for evaporator; inert gas if method requires</x:t>
        </x:is>
      </x:c>
      <x:c r="T26" s="18" t="inlineStr">
        <x:is>
          <x:t xml:space="preserve">Dedicated acid fume hood strongly recommended</x:t>
        </x:is>
      </x:c>
      <x:c r="U26" s="17" t="inlineStr">
        <x:is>
          <x:t xml:space="preserve">At east utility spine, separated from clean analyzer and incompatible solvent/heat hazards</x:t>
        </x:is>
      </x:c>
      <x:c r="V26" s="17" t="inlineStr">
        <x:is>
          <x:t xml:space="preserve">Provisional combined block; selected models and vessel sets required</x:t>
        </x:is>
      </x:c>
      <x:c r="W26" s="18" t="inlineStr">
        <x:is>
          <x:t xml:space="preserve">Scenario B workbook AA-PREP-01 and site requirements</x:t>
        </x:is>
      </x:c>
      <x:c r="X26" s="18" t="inlineStr">
        <x:is>
          <x:t xml:space="preserve"/>
        </x:is>
      </x:c>
      <x:c r="Y26" s="17" t="inlineStr">
        <x:is>
          <x:t xml:space="preserve">Existing Multiwave 5000 remains in the existing laboratory and is not represented as a Room 114 equipment block.</x:t>
        </x:is>
      </x:c>
      <x:c r="Z26" s="17" t="inlineStr">
        <x:is>
          <x:t xml:space="preserve">SCENARIO B - EQUIPMENT</x:t>
        </x:is>
      </x:c>
      <x:c r="AA26" s="17" t="inlineStr">
        <x:is>
          <x:t xml:space="preserve">No</x:t>
        </x:is>
      </x:c>
      <x:c r="AB26" s="22" t="str">
        <x:f>IF(OR(H26="",I26=""),"",H26*I26/144)</x:f>
      </x:c>
      <x:c r="AC26" s="22" t="n">
        <x:f>IF(OR(M26="",N26=""),"",M26*N26/144)</x:f>
        <x:v>18</x:v>
      </x:c>
      <x:c r="AD26" s="22" t="n">
        <x:f>IF(AA26="Yes",E26*K26*L26/144,0)</x:f>
        <x:v>0</x:v>
      </x:c>
      <x:c r="AE26" s="22" t="n">
        <x:f>IF(OR(K26="",L26=""),"",K26*L26/144)</x:f>
        <x:v>10</x:v>
      </x:c>
      <x:c r="AF26" s="23" t="str">
        <x:f>IF(LEFT(D26,8)="Required","REQ",IF(LEFT(D26,11)="Conditional","COND",IF(LEFT(D26,8)="Template","TEMPLATE","REF")))</x:f>
        <x:v>REQ</x:v>
      </x:c>
      <x:c r="AG26" s="23" t="str">
        <x:f>IF(OR(ISNUMBER(SEARCH("verify",V26)),ISNUMBER(SEARCH("allowance",V26))),"REVIEW","")</x:f>
      </x:c>
    </x:row>
    <x:row r="27" ht="64" customHeight="1">
      <x:c r="A27" s="17" t="inlineStr">
        <x:is>
          <x:t xml:space="preserve">B-EQ-CALC01</x:t>
        </x:is>
      </x:c>
      <x:c r="B27" s="17" t="inlineStr">
        <x:is>
          <x:t xml:space="preserve">Software / workflow</x:t>
        </x:is>
      </x:c>
      <x:c r="C27" s="17" t="inlineStr">
        <x:is>
          <x:t xml:space="preserve">Distributed</x:t>
        </x:is>
      </x:c>
      <x:c r="D27" s="17" t="inlineStr">
        <x:is>
          <x:t xml:space="preserve">Required - represented at computer stations</x:t>
        </x:is>
      </x:c>
      <x:c r="E27" s="17" t="n">
        <x:v>1</x:v>
      </x:c>
      <x:c r="F27" s="17" t="inlineStr">
        <x:is>
          <x:t xml:space="preserve">LIMS / REPORTING</x:t>
        </x:is>
      </x:c>
      <x:c r="G27" s="18" t="inlineStr">
        <x:is>
          <x:t xml:space="preserve">Validated LIMS calculation/reporting configuration</x:t>
        </x:is>
      </x:c>
      <x:c r="H27" s="19" t="n"/>
      <x:c r="I27" s="19" t="n"/>
      <x:c r="J27" s="19" t="n"/>
      <x:c r="K27" s="20" t="n"/>
      <x:c r="L27" s="20" t="n"/>
      <x:c r="M27" s="20" t="n"/>
      <x:c r="N27" s="20" t="n"/>
      <x:c r="O27" s="17" t="inlineStr">
        <x:is>
          <x:t xml:space="preserve">B-COMP-DK01 / 02 / 03</x:t>
        </x:is>
      </x:c>
      <x:c r="P27" s="17" t="inlineStr">
        <x:is>
          <x:t xml:space="preserve">Dry-matter basis, energy/equation reporting, result review and release</x:t>
        </x:is>
      </x:c>
      <x:c r="Q27" s="18" t="inlineStr">
        <x:is>
          <x:t xml:space="preserve">Uses computer stations and network/data</x:t>
        </x:is>
      </x:c>
      <x:c r="R27" s="18" t="inlineStr">
        <x:is>
          <x:t xml:space="preserve">None</x:t>
        </x:is>
      </x:c>
      <x:c r="S27" s="18" t="inlineStr">
        <x:is>
          <x:t xml:space="preserve">None</x:t>
        </x:is>
      </x:c>
      <x:c r="T27" s="18" t="inlineStr">
        <x:is>
          <x:t xml:space="preserve">None</x:t>
        </x:is>
      </x:c>
      <x:c r="U27" s="17" t="inlineStr">
        <x:is>
          <x:t xml:space="preserve">Represent at laptop docking stations; no separate analytical instrument block</x:t>
        </x:is>
      </x:c>
      <x:c r="V27" s="17" t="inlineStr">
        <x:is>
          <x:t xml:space="preserve">Source-defined software function</x:t>
        </x:is>
      </x:c>
      <x:c r="W27" s="18" t="inlineStr">
        <x:is>
          <x:t xml:space="preserve">Scenario B workbook CALC-01</x:t>
        </x:is>
      </x:c>
      <x:c r="X27" s="18" t="inlineStr">
        <x:is>
          <x:t xml:space="preserve"/>
        </x:is>
      </x:c>
      <x:c r="Y27" s="17" t="inlineStr">
        <x:is>
          <x:t xml:space="preserve">Do not create a separate floor-standing LIMS object.</x:t>
        </x:is>
      </x:c>
      <x:c r="Z27" s="17" t="inlineStr">
        <x:is>
          <x:t xml:space="preserve">SCENARIO B - EQUIPMENT</x:t>
        </x:is>
      </x:c>
      <x:c r="AA27" s="17" t="inlineStr">
        <x:is>
          <x:t xml:space="preserve">No</x:t>
        </x:is>
      </x:c>
      <x:c r="AB27" s="22" t="str">
        <x:f>IF(OR(H27="",I27=""),"",H27*I27/144)</x:f>
      </x:c>
      <x:c r="AC27" s="22" t="str">
        <x:f>IF(OR(M27="",N27=""),"",M27*N27/144)</x:f>
      </x:c>
      <x:c r="AD27" s="22" t="n">
        <x:f>IF(AA27="Yes",E27*K27*L27/144,0)</x:f>
        <x:v>0</x:v>
      </x:c>
      <x:c r="AE27" s="22" t="str">
        <x:f>IF(OR(K27="",L27=""),"",K27*L27/144)</x:f>
      </x:c>
      <x:c r="AF27" s="23" t="str">
        <x:f>IF(LEFT(D27,8)="Required","REQ",IF(LEFT(D27,11)="Conditional","COND",IF(LEFT(D27,8)="Template","TEMPLATE","REF")))</x:f>
        <x:v>REQ</x:v>
      </x:c>
      <x:c r="AG27" s="23" t="str">
        <x:f>IF(OR(ISNUMBER(SEARCH("verify",V27)),ISNUMBER(SEARCH("allowance",V27))),"REVIEW","")</x:f>
      </x:c>
    </x:row>
    <x:row r="28" ht="64" customHeight="1">
      <x:c r="A28" s="17" t="inlineStr">
        <x:is>
          <x:t xml:space="preserve">B-T-PREP01</x:t>
        </x:is>
      </x:c>
      <x:c r="B28" s="17" t="inlineStr">
        <x:is>
          <x:t xml:space="preserve">Furniture</x:t>
        </x:is>
      </x:c>
      <x:c r="C28" s="17" t="inlineStr">
        <x:is>
          <x:t xml:space="preserve">Dirty / noisy prep</x:t>
        </x:is>
      </x:c>
      <x:c r="D28" s="17" t="inlineStr">
        <x:is>
          <x:t xml:space="preserve">Required</x:t>
        </x:is>
      </x:c>
      <x:c r="E28" s="17" t="n">
        <x:v>1</x:v>
      </x:c>
      <x:c r="F28" s="17" t="inlineStr">
        <x:is>
          <x:t xml:space="preserve">72 x 36 OPEN HEAVY PREP BENCH - P19</x:t>
        </x:is>
      </x:c>
      <x:c r="G28" s="18" t="inlineStr">
        <x:is>
          <x:t xml:space="preserve">Uline-style phenolic lab workbench, open frame</x:t>
        </x:is>
      </x:c>
      <x:c r="H28" s="19" t="n"/>
      <x:c r="I28" s="19" t="n"/>
      <x:c r="J28" s="19" t="n"/>
      <x:c r="K28" s="20" t="n">
        <x:v>72</x:v>
      </x:c>
      <x:c r="L28" s="20" t="n">
        <x:v>36</x:v>
      </x:c>
      <x:c r="M28" s="20" t="n">
        <x:v>72</x:v>
      </x:c>
      <x:c r="N28" s="20" t="n">
        <x:v>36</x:v>
      </x:c>
      <x:c r="O28" s="17" t="inlineStr">
        <x:is>
          <x:t xml:space="preserve"/>
        </x:is>
      </x:c>
      <x:c r="P28" s="17" t="inlineStr">
        <x:is>
          <x:t xml:space="preserve">Supports B-EQ-PREP01 and coarse sample staging</x:t>
        </x:is>
      </x:c>
      <x:c r="Q28" s="18" t="inlineStr">
        <x:is>
          <x:t xml:space="preserve"/>
        </x:is>
      </x:c>
      <x:c r="R28" s="18" t="inlineStr">
        <x:is>
          <x:t xml:space="preserve"/>
        </x:is>
      </x:c>
      <x:c r="S28" s="18" t="inlineStr">
        <x:is>
          <x:t xml:space="preserve"/>
        </x:is>
      </x:c>
      <x:c r="T28" s="18" t="inlineStr">
        <x:is>
          <x:t xml:space="preserve"/>
        </x:is>
      </x:c>
      <x:c r="U28" s="17" t="inlineStr">
        <x:is>
          <x:t xml:space="preserve">West/northwest; ceiling power/dust service preferred</x:t>
        </x:is>
      </x:c>
      <x:c r="V28" s="17" t="inlineStr">
        <x:is>
          <x:t xml:space="preserve">Source-verified standard furniture module</x:t>
        </x:is>
      </x:c>
      <x:c r="W28" s="18" t="inlineStr">
        <x:is>
          <x:t xml:space="preserve">Uline Lab Workbenches</x:t>
        </x:is>
      </x:c>
      <x:c r="X28" s="21" t="inlineStr">
        <x:is>
          <x:t xml:space="preserve">https://www.uline.com/BL_3509/Lab-Workbenches</x:t>
        </x:is>
      </x:c>
      <x:c r="Y28" s="17" t="inlineStr">
        <x:is>
          <x:t xml:space="preserve">Use open frame; do not add a cabinet that blocks mill accessories, dust tubing or service access.</x:t>
        </x:is>
      </x:c>
      <x:c r="Z28" s="17" t="inlineStr">
        <x:is>
          <x:t xml:space="preserve">SCENARIO B - FURNITURE</x:t>
        </x:is>
      </x:c>
      <x:c r="AA28" s="17" t="inlineStr">
        <x:is>
          <x:t xml:space="preserve">Yes</x:t>
        </x:is>
      </x:c>
      <x:c r="AB28" s="22" t="str">
        <x:f>IF(OR(H28="",I28=""),"",H28*I28/144)</x:f>
      </x:c>
      <x:c r="AC28" s="22" t="n">
        <x:f>IF(OR(M28="",N28=""),"",M28*N28/144)</x:f>
        <x:v>18</x:v>
      </x:c>
      <x:c r="AD28" s="22" t="n">
        <x:f>IF(AA28="Yes",E28*K28*L28/144,0)</x:f>
        <x:v>18</x:v>
      </x:c>
      <x:c r="AE28" s="22" t="n">
        <x:f>IF(OR(K28="",L28=""),"",K28*L28/144)</x:f>
        <x:v>18</x:v>
      </x:c>
      <x:c r="AF28" s="23" t="str">
        <x:f>IF(LEFT(D28,8)="Required","REQ",IF(LEFT(D28,11)="Conditional","COND",IF(LEFT(D28,8)="Template","TEMPLATE","REF")))</x:f>
        <x:v>REQ</x:v>
      </x:c>
      <x:c r="AG28" s="23" t="str">
        <x:f>IF(OR(ISNUMBER(SEARCH("verify",V28)),ISNUMBER(SEARCH("allowance",V28))),"REVIEW","")</x:f>
      </x:c>
    </x:row>
    <x:row r="29" ht="64" customHeight="1">
      <x:c r="A29" s="17" t="inlineStr">
        <x:is>
          <x:t xml:space="preserve">B-T-PREP02</x:t>
        </x:is>
      </x:c>
      <x:c r="B29" s="17" t="inlineStr">
        <x:is>
          <x:t xml:space="preserve">Furniture</x:t>
        </x:is>
      </x:c>
      <x:c r="C29" s="17" t="inlineStr">
        <x:is>
          <x:t xml:space="preserve">Dirty / noisy prep</x:t>
        </x:is>
      </x:c>
      <x:c r="D29" s="17" t="inlineStr">
        <x:is>
          <x:t xml:space="preserve">Required</x:t>
        </x:is>
      </x:c>
      <x:c r="E29" s="17" t="n">
        <x:v>1</x:v>
      </x:c>
      <x:c r="F29" s="17" t="inlineStr">
        <x:is>
          <x:t xml:space="preserve">96 x 36 OPEN HEAVY PREP BENCH - CT293 + PT100</x:t>
        </x:is>
      </x:c>
      <x:c r="G29" s="18" t="inlineStr">
        <x:is>
          <x:t xml:space="preserve">Uline-style phenolic lab workbench, open frame</x:t>
        </x:is>
      </x:c>
      <x:c r="H29" s="19" t="n"/>
      <x:c r="I29" s="19" t="n"/>
      <x:c r="J29" s="19" t="n"/>
      <x:c r="K29" s="20" t="n">
        <x:v>96</x:v>
      </x:c>
      <x:c r="L29" s="20" t="n">
        <x:v>36</x:v>
      </x:c>
      <x:c r="M29" s="20" t="n">
        <x:v>96</x:v>
      </x:c>
      <x:c r="N29" s="20" t="n">
        <x:v>36</x:v>
      </x:c>
      <x:c r="O29" s="17" t="inlineStr">
        <x:is>
          <x:t xml:space="preserve"/>
        </x:is>
      </x:c>
      <x:c r="P29" s="17" t="inlineStr">
        <x:is>
          <x:t xml:space="preserve">Supports B-EQ-PREP04 and B-EQ-PREP05 with transfer space</x:t>
        </x:is>
      </x:c>
      <x:c r="Q29" s="18" t="inlineStr">
        <x:is>
          <x:t xml:space="preserve"/>
        </x:is>
      </x:c>
      <x:c r="R29" s="18" t="inlineStr">
        <x:is>
          <x:t xml:space="preserve"/>
        </x:is>
      </x:c>
      <x:c r="S29" s="18" t="inlineStr">
        <x:is>
          <x:t xml:space="preserve"/>
        </x:is>
      </x:c>
      <x:c r="T29" s="18" t="inlineStr">
        <x:is>
          <x:t xml:space="preserve"/>
        </x:is>
      </x:c>
      <x:c r="U29" s="17" t="inlineStr">
        <x:is>
          <x:t xml:space="preserve">Immediately downstream of primary mill</x:t>
        </x:is>
      </x:c>
      <x:c r="V29" s="17" t="inlineStr">
        <x:is>
          <x:t xml:space="preserve">Source-verified standard furniture module</x:t>
        </x:is>
      </x:c>
      <x:c r="W29" s="18" t="inlineStr">
        <x:is>
          <x:t xml:space="preserve">Uline Lab Workbenches</x:t>
        </x:is>
      </x:c>
      <x:c r="X29" s="21" t="inlineStr">
        <x:is>
          <x:t xml:space="preserve">https://www.uline.com/BL_3509/Lab-Workbenches</x:t>
        </x:is>
      </x:c>
      <x:c r="Y29" s="17" t="inlineStr">
        <x:is>
          <x:t xml:space="preserve">Keep each instrument separate on top of the bench; do not draw them as part of the table.</x:t>
        </x:is>
      </x:c>
      <x:c r="Z29" s="17" t="inlineStr">
        <x:is>
          <x:t xml:space="preserve">SCENARIO B - FURNITURE</x:t>
        </x:is>
      </x:c>
      <x:c r="AA29" s="17" t="inlineStr">
        <x:is>
          <x:t xml:space="preserve">Yes</x:t>
        </x:is>
      </x:c>
      <x:c r="AB29" s="22" t="str">
        <x:f>IF(OR(H29="",I29=""),"",H29*I29/144)</x:f>
      </x:c>
      <x:c r="AC29" s="22" t="n">
        <x:f>IF(OR(M29="",N29=""),"",M29*N29/144)</x:f>
        <x:v>24</x:v>
      </x:c>
      <x:c r="AD29" s="22" t="n">
        <x:f>IF(AA29="Yes",E29*K29*L29/144,0)</x:f>
        <x:v>24</x:v>
      </x:c>
      <x:c r="AE29" s="22" t="n">
        <x:f>IF(OR(K29="",L29=""),"",K29*L29/144)</x:f>
        <x:v>24</x:v>
      </x:c>
      <x:c r="AF29" s="23" t="str">
        <x:f>IF(LEFT(D29,8)="Required","REQ",IF(LEFT(D29,11)="Conditional","COND",IF(LEFT(D29,8)="Template","TEMPLATE","REF")))</x:f>
        <x:v>REQ</x:v>
      </x:c>
      <x:c r="AG29" s="23" t="str">
        <x:f>IF(OR(ISNUMBER(SEARCH("verify",V29)),ISNUMBER(SEARCH("allowance",V29))),"REVIEW","")</x:f>
      </x:c>
    </x:row>
    <x:row r="30" ht="64" customHeight="1">
      <x:c r="A30" s="17" t="inlineStr">
        <x:is>
          <x:t xml:space="preserve">B-T-PREP03</x:t>
        </x:is>
      </x:c>
      <x:c r="B30" s="17" t="inlineStr">
        <x:is>
          <x:t xml:space="preserve">Furniture</x:t>
        </x:is>
      </x:c>
      <x:c r="C30" s="17" t="inlineStr">
        <x:is>
          <x:t xml:space="preserve">Dirty / noisy prep</x:t>
        </x:is>
      </x:c>
      <x:c r="D30" s="17" t="inlineStr">
        <x:is>
          <x:t xml:space="preserve">Required</x:t>
        </x:is>
      </x:c>
      <x:c r="E30" s="17" t="n">
        <x:v>1</x:v>
      </x:c>
      <x:c r="F30" s="17" t="inlineStr">
        <x:is>
          <x:t xml:space="preserve">48 x 30 BENCH - AS200</x:t>
        </x:is>
      </x:c>
      <x:c r="G30" s="18" t="inlineStr">
        <x:is>
          <x:t xml:space="preserve">Uline-style phenolic lab workbench</x:t>
        </x:is>
      </x:c>
      <x:c r="H30" s="19" t="n"/>
      <x:c r="I30" s="19" t="n"/>
      <x:c r="J30" s="19" t="n"/>
      <x:c r="K30" s="20" t="n">
        <x:v>48</x:v>
      </x:c>
      <x:c r="L30" s="20" t="n">
        <x:v>30</x:v>
      </x:c>
      <x:c r="M30" s="20" t="n">
        <x:v>48</x:v>
      </x:c>
      <x:c r="N30" s="20" t="n">
        <x:v>30</x:v>
      </x:c>
      <x:c r="O30" s="17" t="inlineStr">
        <x:is>
          <x:t xml:space="preserve"/>
        </x:is>
      </x:c>
      <x:c r="P30" s="17" t="inlineStr">
        <x:is>
          <x:t xml:space="preserve">Dedicated support for B-EQ-PREP07</x:t>
        </x:is>
      </x:c>
      <x:c r="Q30" s="18" t="inlineStr">
        <x:is>
          <x:t xml:space="preserve"/>
        </x:is>
      </x:c>
      <x:c r="R30" s="18" t="inlineStr">
        <x:is>
          <x:t xml:space="preserve"/>
        </x:is>
      </x:c>
      <x:c r="S30" s="18" t="inlineStr">
        <x:is>
          <x:t xml:space="preserve"/>
        </x:is>
      </x:c>
      <x:c r="T30" s="18" t="inlineStr">
        <x:is>
          <x:t xml:space="preserve"/>
        </x:is>
      </x:c>
      <x:c r="U30" s="17" t="inlineStr">
        <x:is>
          <x:t xml:space="preserve">Near divider and sieve storage; separated from balances</x:t>
        </x:is>
      </x:c>
      <x:c r="V30" s="17" t="inlineStr">
        <x:is>
          <x:t xml:space="preserve">Source-verified standard furniture module</x:t>
        </x:is>
      </x:c>
      <x:c r="W30" s="18" t="inlineStr">
        <x:is>
          <x:t xml:space="preserve">Uline Lab Workbenches</x:t>
        </x:is>
      </x:c>
      <x:c r="X30" s="21" t="inlineStr">
        <x:is>
          <x:t xml:space="preserve">https://www.uline.com/BL_3509/Lab-Workbenches</x:t>
        </x:is>
      </x:c>
      <x:c r="Y30" s="17" t="inlineStr">
        <x:is>
          <x:t xml:space="preserve">A dedicated small table reduces vibration transfer to other prep equipment.</x:t>
        </x:is>
      </x:c>
      <x:c r="Z30" s="17" t="inlineStr">
        <x:is>
          <x:t xml:space="preserve">SCENARIO B - FURNITURE</x:t>
        </x:is>
      </x:c>
      <x:c r="AA30" s="17" t="inlineStr">
        <x:is>
          <x:t xml:space="preserve">Yes</x:t>
        </x:is>
      </x:c>
      <x:c r="AB30" s="22" t="str">
        <x:f>IF(OR(H30="",I30=""),"",H30*I30/144)</x:f>
      </x:c>
      <x:c r="AC30" s="22" t="n">
        <x:f>IF(OR(M30="",N30=""),"",M30*N30/144)</x:f>
        <x:v>10</x:v>
      </x:c>
      <x:c r="AD30" s="22" t="n">
        <x:f>IF(AA30="Yes",E30*K30*L30/144,0)</x:f>
        <x:v>10</x:v>
      </x:c>
      <x:c r="AE30" s="22" t="n">
        <x:f>IF(OR(K30="",L30=""),"",K30*L30/144)</x:f>
        <x:v>10</x:v>
      </x:c>
      <x:c r="AF30" s="23" t="str">
        <x:f>IF(LEFT(D30,8)="Required","REQ",IF(LEFT(D30,11)="Conditional","COND",IF(LEFT(D30,8)="Template","TEMPLATE","REF")))</x:f>
        <x:v>REQ</x:v>
      </x:c>
      <x:c r="AG30" s="23" t="str">
        <x:f>IF(OR(ISNUMBER(SEARCH("verify",V30)),ISNUMBER(SEARCH("allowance",V30))),"REVIEW","")</x:f>
      </x:c>
    </x:row>
    <x:row r="31" ht="64" customHeight="1">
      <x:c r="A31" s="17" t="inlineStr">
        <x:is>
          <x:t xml:space="preserve">B-STOR-PREP08</x:t>
        </x:is>
      </x:c>
      <x:c r="B31" s="17" t="inlineStr">
        <x:is>
          <x:t xml:space="preserve">Storage</x:t>
        </x:is>
      </x:c>
      <x:c r="C31" s="17" t="inlineStr">
        <x:is>
          <x:t xml:space="preserve">Dirty / noisy prep</x:t>
        </x:is>
      </x:c>
      <x:c r="D31" s="17" t="inlineStr">
        <x:is>
          <x:t xml:space="preserve">Required</x:t>
        </x:is>
      </x:c>
      <x:c r="E31" s="17" t="n">
        <x:v>1</x:v>
      </x:c>
      <x:c r="F31" s="17" t="inlineStr">
        <x:is>
          <x:t xml:space="preserve">24 x 24 PROTECTED SIEVE CABINET / CART</x:t>
        </x:is>
      </x:c>
      <x:c r="G31" s="18" t="inlineStr">
        <x:is>
          <x:t xml:space="preserve">Protected cabinet or cart - model to select</x:t>
        </x:is>
      </x:c>
      <x:c r="H31" s="19" t="n"/>
      <x:c r="I31" s="19" t="n"/>
      <x:c r="J31" s="19" t="n"/>
      <x:c r="K31" s="20" t="n">
        <x:v>24</x:v>
      </x:c>
      <x:c r="L31" s="20" t="n">
        <x:v>24</x:v>
      </x:c>
      <x:c r="M31" s="20" t="n">
        <x:v>24</x:v>
      </x:c>
      <x:c r="N31" s="20" t="n">
        <x:v>24</x:v>
      </x:c>
      <x:c r="O31" s="17" t="inlineStr">
        <x:is>
          <x:t xml:space="preserve"/>
        </x:is>
      </x:c>
      <x:c r="P31" s="17" t="inlineStr">
        <x:is>
          <x:t xml:space="preserve">Stores working and reference sieve sets</x:t>
        </x:is>
      </x:c>
      <x:c r="Q31" s="18" t="inlineStr">
        <x:is>
          <x:t xml:space="preserve"/>
        </x:is>
      </x:c>
      <x:c r="R31" s="18" t="inlineStr">
        <x:is>
          <x:t xml:space="preserve"/>
        </x:is>
      </x:c>
      <x:c r="S31" s="18" t="inlineStr">
        <x:is>
          <x:t xml:space="preserve"/>
        </x:is>
      </x:c>
      <x:c r="T31" s="18" t="inlineStr">
        <x:is>
          <x:t xml:space="preserve"/>
        </x:is>
      </x:c>
      <x:c r="U31" s="17" t="inlineStr">
        <x:is>
          <x:t xml:space="preserve">Adjacent to AS200 but protected from damage/contamination</x:t>
        </x:is>
      </x:c>
      <x:c r="V31" s="17" t="inlineStr">
        <x:is>
          <x:t xml:space="preserve">Planning allowance</x:t>
        </x:is>
      </x:c>
      <x:c r="W31" s="18" t="inlineStr">
        <x:is>
          <x:t xml:space="preserve">Scenario B starter prompt</x:t>
        </x:is>
      </x:c>
      <x:c r="X31" s="18" t="inlineStr">
        <x:is>
          <x:t xml:space="preserve"/>
        </x:is>
      </x:c>
      <x:c r="Y31" s="17" t="inlineStr">
        <x:is>
          <x:t xml:space="preserve">Keep working and reference/backup sets separately identified.</x:t>
        </x:is>
      </x:c>
      <x:c r="Z31" s="17" t="inlineStr">
        <x:is>
          <x:t xml:space="preserve">SCENARIO B - FURNITURE</x:t>
        </x:is>
      </x:c>
      <x:c r="AA31" s="17" t="inlineStr">
        <x:is>
          <x:t xml:space="preserve">Yes</x:t>
        </x:is>
      </x:c>
      <x:c r="AB31" s="22" t="str">
        <x:f>IF(OR(H31="",I31=""),"",H31*I31/144)</x:f>
      </x:c>
      <x:c r="AC31" s="22" t="n">
        <x:f>IF(OR(M31="",N31=""),"",M31*N31/144)</x:f>
        <x:v>4</x:v>
      </x:c>
      <x:c r="AD31" s="22" t="n">
        <x:f>IF(AA31="Yes",E31*K31*L31/144,0)</x:f>
        <x:v>4</x:v>
      </x:c>
      <x:c r="AE31" s="22" t="n">
        <x:f>IF(OR(K31="",L31=""),"",K31*L31/144)</x:f>
        <x:v>4</x:v>
      </x:c>
      <x:c r="AF31" s="23" t="str">
        <x:f>IF(LEFT(D31,8)="Required","REQ",IF(LEFT(D31,11)="Conditional","COND",IF(LEFT(D31,8)="Template","TEMPLATE","REF")))</x:f>
        <x:v>REQ</x:v>
      </x:c>
      <x:c r="AG31" s="23" t="str">
        <x:f>IF(OR(ISNUMBER(SEARCH("verify",V31)),ISNUMBER(SEARCH("allowance",V31))),"REVIEW","")</x:f>
        <x:v>REVIEW</x:v>
      </x:c>
    </x:row>
    <x:row r="32" ht="64" customHeight="1">
      <x:c r="A32" s="17" t="inlineStr">
        <x:is>
          <x:t xml:space="preserve">B-FIX-WASH-ENV</x:t>
        </x:is>
      </x:c>
      <x:c r="B32" s="17" t="inlineStr">
        <x:is>
          <x:t xml:space="preserve">Fixture</x:t>
        </x:is>
      </x:c>
      <x:c r="C32" s="17" t="inlineStr">
        <x:is>
          <x:t xml:space="preserve">Wash / utility hub</x:t>
        </x:is>
      </x:c>
      <x:c r="D32" s="17" t="inlineStr">
        <x:is>
          <x:t xml:space="preserve">Required</x:t>
        </x:is>
      </x:c>
      <x:c r="E32" s="17" t="n">
        <x:v>1</x:v>
      </x:c>
      <x:c r="F32" s="17" t="inlineStr">
        <x:is>
          <x:t xml:space="preserve">96 x 36 WASH-STATION PLANNING ENVELOPE</x:t>
        </x:is>
      </x:c>
      <x:c r="G32" s="18" t="inlineStr">
        <x:is>
          <x:t xml:space="preserve">Purpose-built laboratory wash station - model/design to select</x:t>
        </x:is>
      </x:c>
      <x:c r="H32" s="19" t="n"/>
      <x:c r="I32" s="19" t="n"/>
      <x:c r="J32" s="19" t="n"/>
      <x:c r="K32" s="20" t="n">
        <x:v>96</x:v>
      </x:c>
      <x:c r="L32" s="20" t="n">
        <x:v>36</x:v>
      </x:c>
      <x:c r="M32" s="20" t="n">
        <x:v>96</x:v>
      </x:c>
      <x:c r="N32" s="20" t="n">
        <x:v>72</x:v>
      </x:c>
      <x:c r="O32" s="17" t="inlineStr">
        <x:is>
          <x:t xml:space="preserve"/>
        </x:is>
      </x:c>
      <x:c r="P32" s="17" t="inlineStr">
        <x:is>
          <x:t xml:space="preserve">Contains sink, wash surface, drying area and accessible branch/manifold zone</x:t>
        </x:is>
      </x:c>
      <x:c r="Q32" s="18" t="inlineStr">
        <x:is>
          <x:t xml:space="preserve"/>
        </x:is>
      </x:c>
      <x:c r="R32" s="18" t="inlineStr">
        <x:is>
          <x:t xml:space="preserve">Existing east-side plumbing/drain hub; exact services field verify</x:t>
        </x:is>
      </x:c>
      <x:c r="S32" s="18" t="inlineStr">
        <x:is>
          <x:t xml:space="preserve"/>
        </x:is>
      </x:c>
      <x:c r="T32" s="18" t="inlineStr">
        <x:is>
          <x:t xml:space="preserve"/>
        </x:is>
      </x:c>
      <x:c r="U32" s="17" t="inlineStr">
        <x:is>
          <x:t xml:space="preserve">Centered on annotated east-side plumbing zone</x:t>
        </x:is>
      </x:c>
      <x:c r="V32" s="17" t="inlineStr">
        <x:is>
          <x:t xml:space="preserve">Planning allowance - field/MEP design required</x:t>
        </x:is>
      </x:c>
      <x:c r="W32" s="18" t="inlineStr">
        <x:is>
          <x:t xml:space="preserve">AIT annotated plan and user direction</x:t>
        </x:is>
      </x:c>
      <x:c r="X32" s="18" t="inlineStr">
        <x:is>
          <x:t xml:space="preserve"/>
        </x:is>
      </x:c>
      <x:c r="Y32" s="17" t="inlineStr">
        <x:is>
          <x:t xml:space="preserve">This parent envelope counts floor area. Child sink/surface/drying/manifold objects remain separate and do not add floor area.</x:t>
        </x:is>
      </x:c>
      <x:c r="Z32" s="17" t="inlineStr">
        <x:is>
          <x:t xml:space="preserve">SCENARIO B - FURNITURE</x:t>
        </x:is>
      </x:c>
      <x:c r="AA32" s="17" t="inlineStr">
        <x:is>
          <x:t xml:space="preserve">Yes</x:t>
        </x:is>
      </x:c>
      <x:c r="AB32" s="22" t="str">
        <x:f>IF(OR(H32="",I32=""),"",H32*I32/144)</x:f>
      </x:c>
      <x:c r="AC32" s="22" t="n">
        <x:f>IF(OR(M32="",N32=""),"",M32*N32/144)</x:f>
        <x:v>48</x:v>
      </x:c>
      <x:c r="AD32" s="22" t="n">
        <x:f>IF(AA32="Yes",E32*K32*L32/144,0)</x:f>
        <x:v>24</x:v>
      </x:c>
      <x:c r="AE32" s="22" t="n">
        <x:f>IF(OR(K32="",L32=""),"",K32*L32/144)</x:f>
        <x:v>24</x:v>
      </x:c>
      <x:c r="AF32" s="23" t="str">
        <x:f>IF(LEFT(D32,8)="Required","REQ",IF(LEFT(D32,11)="Conditional","COND",IF(LEFT(D32,8)="Template","TEMPLATE","REF")))</x:f>
        <x:v>REQ</x:v>
      </x:c>
      <x:c r="AG32" s="23" t="str">
        <x:f>IF(OR(ISNUMBER(SEARCH("verify",V32)),ISNUMBER(SEARCH("allowance",V32))),"REVIEW","")</x:f>
        <x:v>REVIEW</x:v>
      </x:c>
    </x:row>
    <x:row r="33" ht="64" customHeight="1">
      <x:c r="A33" s="17" t="inlineStr">
        <x:is>
          <x:t xml:space="preserve">B-FIX-SINK01</x:t>
        </x:is>
      </x:c>
      <x:c r="B33" s="17" t="inlineStr">
        <x:is>
          <x:t xml:space="preserve">Fixture component</x:t>
        </x:is>
      </x:c>
      <x:c r="C33" s="17" t="inlineStr">
        <x:is>
          <x:t xml:space="preserve">Wash / utility hub</x:t>
        </x:is>
      </x:c>
      <x:c r="D33" s="17" t="inlineStr">
        <x:is>
          <x:t xml:space="preserve">Required</x:t>
        </x:is>
      </x:c>
      <x:c r="E33" s="17" t="n">
        <x:v>1</x:v>
      </x:c>
      <x:c r="F33" s="17" t="inlineStr">
        <x:is>
          <x:t xml:space="preserve">36 x 24 DEEP LAB SINK</x:t>
        </x:is>
      </x:c>
      <x:c r="G33" s="18" t="inlineStr">
        <x:is>
          <x:t xml:space="preserve">Deep sink - final basin and material to select</x:t>
        </x:is>
      </x:c>
      <x:c r="H33" s="19" t="n"/>
      <x:c r="I33" s="19" t="n"/>
      <x:c r="J33" s="19" t="n"/>
      <x:c r="K33" s="20" t="n">
        <x:v>36</x:v>
      </x:c>
      <x:c r="L33" s="20" t="n">
        <x:v>24</x:v>
      </x:c>
      <x:c r="M33" s="20" t="n">
        <x:v>36</x:v>
      </x:c>
      <x:c r="N33" s="20" t="n">
        <x:v>24</x:v>
      </x:c>
      <x:c r="O33" s="17" t="inlineStr">
        <x:is>
          <x:t xml:space="preserve"/>
        </x:is>
      </x:c>
      <x:c r="P33" s="17" t="inlineStr">
        <x:is>
          <x:t xml:space="preserve">Washing glassware, crucibles and instrument accessories</x:t>
        </x:is>
      </x:c>
      <x:c r="Q33" s="18" t="inlineStr">
        <x:is>
          <x:t xml:space="preserve"/>
        </x:is>
      </x:c>
      <x:c r="R33" s="18" t="inlineStr">
        <x:is>
          <x:t xml:space="preserve">Hot/cold/DI services and drain type field verify</x:t>
        </x:is>
      </x:c>
      <x:c r="S33" s="18" t="inlineStr">
        <x:is>
          <x:t xml:space="preserve"/>
        </x:is>
      </x:c>
      <x:c r="T33" s="18" t="inlineStr">
        <x:is>
          <x:t xml:space="preserve"/>
        </x:is>
      </x:c>
      <x:c r="U33" s="17" t="inlineStr">
        <x:is>
          <x:t xml:space="preserve">Inside B-FIX-WASH-ENV</x:t>
        </x:is>
      </x:c>
      <x:c r="V33" s="17" t="inlineStr">
        <x:is>
          <x:t xml:space="preserve">Planning allowance</x:t>
        </x:is>
      </x:c>
      <x:c r="W33" s="18" t="inlineStr">
        <x:is>
          <x:t xml:space="preserve">AIT user direction</x:t>
        </x:is>
      </x:c>
      <x:c r="X33" s="18" t="inlineStr">
        <x:is>
          <x:t xml:space="preserve"/>
        </x:is>
      </x:c>
      <x:c r="Y33" s="17" t="inlineStr">
        <x:is>
          <x:t xml:space="preserve">Do not present as a final fixture selection.</x:t>
        </x:is>
      </x:c>
      <x:c r="Z33" s="17" t="inlineStr">
        <x:is>
          <x:t xml:space="preserve">SCENARIO B - FURNITURE</x:t>
        </x:is>
      </x:c>
      <x:c r="AA33" s="17" t="inlineStr">
        <x:is>
          <x:t xml:space="preserve">No</x:t>
        </x:is>
      </x:c>
      <x:c r="AB33" s="22" t="str">
        <x:f>IF(OR(H33="",I33=""),"",H33*I33/144)</x:f>
      </x:c>
      <x:c r="AC33" s="22" t="n">
        <x:f>IF(OR(M33="",N33=""),"",M33*N33/144)</x:f>
        <x:v>6</x:v>
      </x:c>
      <x:c r="AD33" s="22" t="n">
        <x:f>IF(AA33="Yes",E33*K33*L33/144,0)</x:f>
        <x:v>0</x:v>
      </x:c>
      <x:c r="AE33" s="22" t="n">
        <x:f>IF(OR(K33="",L33=""),"",K33*L33/144)</x:f>
        <x:v>6</x:v>
      </x:c>
      <x:c r="AF33" s="23" t="str">
        <x:f>IF(LEFT(D33,8)="Required","REQ",IF(LEFT(D33,11)="Conditional","COND",IF(LEFT(D33,8)="Template","TEMPLATE","REF")))</x:f>
        <x:v>REQ</x:v>
      </x:c>
      <x:c r="AG33" s="23" t="str">
        <x:f>IF(OR(ISNUMBER(SEARCH("verify",V33)),ISNUMBER(SEARCH("allowance",V33))),"REVIEW","")</x:f>
        <x:v>REVIEW</x:v>
      </x:c>
    </x:row>
    <x:row r="34" ht="64" customHeight="1">
      <x:c r="A34" s="17" t="inlineStr">
        <x:is>
          <x:t xml:space="preserve">B-FIX-WASH01</x:t>
        </x:is>
      </x:c>
      <x:c r="B34" s="17" t="inlineStr">
        <x:is>
          <x:t xml:space="preserve">Fixture component</x:t>
        </x:is>
      </x:c>
      <x:c r="C34" s="17" t="inlineStr">
        <x:is>
          <x:t xml:space="preserve">Wash / utility hub</x:t>
        </x:is>
      </x:c>
      <x:c r="D34" s="17" t="inlineStr">
        <x:is>
          <x:t xml:space="preserve">Required</x:t>
        </x:is>
      </x:c>
      <x:c r="E34" s="17" t="n">
        <x:v>1</x:v>
      </x:c>
      <x:c r="F34" s="17" t="inlineStr">
        <x:is>
          <x:t xml:space="preserve">36 x 30 WASH / RINSE WORK SURFACE</x:t>
        </x:is>
      </x:c>
      <x:c r="G34" s="18" t="inlineStr">
        <x:is>
          <x:t xml:space="preserve">Chemical-resistant work surface</x:t>
        </x:is>
      </x:c>
      <x:c r="H34" s="19" t="n"/>
      <x:c r="I34" s="19" t="n"/>
      <x:c r="J34" s="19" t="n"/>
      <x:c r="K34" s="20" t="n">
        <x:v>36</x:v>
      </x:c>
      <x:c r="L34" s="20" t="n">
        <x:v>30</x:v>
      </x:c>
      <x:c r="M34" s="20" t="n">
        <x:v>36</x:v>
      </x:c>
      <x:c r="N34" s="20" t="n">
        <x:v>30</x:v>
      </x:c>
      <x:c r="O34" s="17" t="inlineStr">
        <x:is>
          <x:t xml:space="preserve"/>
        </x:is>
      </x:c>
      <x:c r="P34" s="17" t="inlineStr">
        <x:is>
          <x:t xml:space="preserve">Active wash, rinse and instrument-part staging</x:t>
        </x:is>
      </x:c>
      <x:c r="Q34" s="18" t="inlineStr">
        <x:is>
          <x:t xml:space="preserve"/>
        </x:is>
      </x:c>
      <x:c r="R34" s="18" t="inlineStr">
        <x:is>
          <x:t xml:space="preserve"/>
        </x:is>
      </x:c>
      <x:c r="S34" s="18" t="inlineStr">
        <x:is>
          <x:t xml:space="preserve"/>
        </x:is>
      </x:c>
      <x:c r="T34" s="18" t="inlineStr">
        <x:is>
          <x:t xml:space="preserve"/>
        </x:is>
      </x:c>
      <x:c r="U34" s="17" t="inlineStr">
        <x:is>
          <x:t xml:space="preserve">Inside B-FIX-WASH-ENV</x:t>
        </x:is>
      </x:c>
      <x:c r="V34" s="17" t="inlineStr">
        <x:is>
          <x:t xml:space="preserve">Planning allowance</x:t>
        </x:is>
      </x:c>
      <x:c r="W34" s="18" t="inlineStr">
        <x:is>
          <x:t xml:space="preserve">AIT user direction</x:t>
        </x:is>
      </x:c>
      <x:c r="X34" s="18" t="inlineStr">
        <x:is>
          <x:t xml:space="preserve"/>
        </x:is>
      </x:c>
      <x:c r="Y34" s="17" t="inlineStr">
        <x:is>
          <x:t xml:space="preserve">Keep independent from the sink block for later resizing.</x:t>
        </x:is>
      </x:c>
      <x:c r="Z34" s="17" t="inlineStr">
        <x:is>
          <x:t xml:space="preserve">SCENARIO B - FURNITURE</x:t>
        </x:is>
      </x:c>
      <x:c r="AA34" s="17" t="inlineStr">
        <x:is>
          <x:t xml:space="preserve">No</x:t>
        </x:is>
      </x:c>
      <x:c r="AB34" s="22" t="str">
        <x:f>IF(OR(H34="",I34=""),"",H34*I34/144)</x:f>
      </x:c>
      <x:c r="AC34" s="22" t="n">
        <x:f>IF(OR(M34="",N34=""),"",M34*N34/144)</x:f>
        <x:v>7.5</x:v>
      </x:c>
      <x:c r="AD34" s="22" t="n">
        <x:f>IF(AA34="Yes",E34*K34*L34/144,0)</x:f>
        <x:v>0</x:v>
      </x:c>
      <x:c r="AE34" s="22" t="n">
        <x:f>IF(OR(K34="",L34=""),"",K34*L34/144)</x:f>
        <x:v>7.5</x:v>
      </x:c>
      <x:c r="AF34" s="23" t="str">
        <x:f>IF(LEFT(D34,8)="Required","REQ",IF(LEFT(D34,11)="Conditional","COND",IF(LEFT(D34,8)="Template","TEMPLATE","REF")))</x:f>
        <x:v>REQ</x:v>
      </x:c>
      <x:c r="AG34" s="23" t="str">
        <x:f>IF(OR(ISNUMBER(SEARCH("verify",V34)),ISNUMBER(SEARCH("allowance",V34))),"REVIEW","")</x:f>
        <x:v>REVIEW</x:v>
      </x:c>
    </x:row>
    <x:row r="35" ht="64" customHeight="1">
      <x:c r="A35" s="17" t="inlineStr">
        <x:is>
          <x:t xml:space="preserve">B-FIX-DRY01</x:t>
        </x:is>
      </x:c>
      <x:c r="B35" s="17" t="inlineStr">
        <x:is>
          <x:t xml:space="preserve">Fixture component</x:t>
        </x:is>
      </x:c>
      <x:c r="C35" s="17" t="inlineStr">
        <x:is>
          <x:t xml:space="preserve">Wash / utility hub</x:t>
        </x:is>
      </x:c>
      <x:c r="D35" s="17" t="inlineStr">
        <x:is>
          <x:t xml:space="preserve">Required</x:t>
        </x:is>
      </x:c>
      <x:c r="E35" s="17" t="n">
        <x:v>1</x:v>
      </x:c>
      <x:c r="F35" s="17" t="inlineStr">
        <x:is>
          <x:t xml:space="preserve">24 x 24 DRYING AREA / RACK</x:t>
        </x:is>
      </x:c>
      <x:c r="G35" s="18" t="inlineStr">
        <x:is>
          <x:t xml:space="preserve">Benchtop or rack drying area - model to select</x:t>
        </x:is>
      </x:c>
      <x:c r="H35" s="19" t="n"/>
      <x:c r="I35" s="19" t="n"/>
      <x:c r="J35" s="19" t="n"/>
      <x:c r="K35" s="20" t="n">
        <x:v>24</x:v>
      </x:c>
      <x:c r="L35" s="20" t="n">
        <x:v>24</x:v>
      </x:c>
      <x:c r="M35" s="20" t="n">
        <x:v>24</x:v>
      </x:c>
      <x:c r="N35" s="20" t="n">
        <x:v>24</x:v>
      </x:c>
      <x:c r="O35" s="17" t="inlineStr">
        <x:is>
          <x:t xml:space="preserve"/>
        </x:is>
      </x:c>
      <x:c r="P35" s="17" t="inlineStr">
        <x:is>
          <x:t xml:space="preserve">Drying washed glassware and accessories</x:t>
        </x:is>
      </x:c>
      <x:c r="Q35" s="18" t="inlineStr">
        <x:is>
          <x:t xml:space="preserve"/>
        </x:is>
      </x:c>
      <x:c r="R35" s="18" t="inlineStr">
        <x:is>
          <x:t xml:space="preserve"/>
        </x:is>
      </x:c>
      <x:c r="S35" s="18" t="inlineStr">
        <x:is>
          <x:t xml:space="preserve"/>
        </x:is>
      </x:c>
      <x:c r="T35" s="18" t="inlineStr">
        <x:is>
          <x:t xml:space="preserve"/>
        </x:is>
      </x:c>
      <x:c r="U35" s="17" t="inlineStr">
        <x:is>
          <x:t xml:space="preserve">Inside B-FIX-WASH-ENV</x:t>
        </x:is>
      </x:c>
      <x:c r="V35" s="17" t="inlineStr">
        <x:is>
          <x:t xml:space="preserve">Planning allowance</x:t>
        </x:is>
      </x:c>
      <x:c r="W35" s="18" t="inlineStr">
        <x:is>
          <x:t xml:space="preserve">AIT user direction</x:t>
        </x:is>
      </x:c>
      <x:c r="X35" s="18" t="inlineStr">
        <x:is>
          <x:t xml:space="preserve"/>
        </x:is>
      </x:c>
      <x:c r="Y35" s="17" t="inlineStr">
        <x:is>
          <x:t xml:space="preserve">Wall-mounted rack may be difficult on the east-core interface; keep as a movable planning object.</x:t>
        </x:is>
      </x:c>
      <x:c r="Z35" s="17" t="inlineStr">
        <x:is>
          <x:t xml:space="preserve">SCENARIO B - FURNITURE</x:t>
        </x:is>
      </x:c>
      <x:c r="AA35" s="17" t="inlineStr">
        <x:is>
          <x:t xml:space="preserve">No</x:t>
        </x:is>
      </x:c>
      <x:c r="AB35" s="22" t="str">
        <x:f>IF(OR(H35="",I35=""),"",H35*I35/144)</x:f>
      </x:c>
      <x:c r="AC35" s="22" t="n">
        <x:f>IF(OR(M35="",N35=""),"",M35*N35/144)</x:f>
        <x:v>4</x:v>
      </x:c>
      <x:c r="AD35" s="22" t="n">
        <x:f>IF(AA35="Yes",E35*K35*L35/144,0)</x:f>
        <x:v>0</x:v>
      </x:c>
      <x:c r="AE35" s="22" t="n">
        <x:f>IF(OR(K35="",L35=""),"",K35*L35/144)</x:f>
        <x:v>4</x:v>
      </x:c>
      <x:c r="AF35" s="23" t="str">
        <x:f>IF(LEFT(D35,8)="Required","REQ",IF(LEFT(D35,11)="Conditional","COND",IF(LEFT(D35,8)="Template","TEMPLATE","REF")))</x:f>
        <x:v>REQ</x:v>
      </x:c>
      <x:c r="AG35" s="23" t="str">
        <x:f>IF(OR(ISNUMBER(SEARCH("verify",V35)),ISNUMBER(SEARCH("allowance",V35))),"REVIEW","")</x:f>
        <x:v>REVIEW</x:v>
      </x:c>
    </x:row>
    <x:row r="36" ht="64" customHeight="1">
      <x:c r="A36" s="17" t="inlineStr">
        <x:is>
          <x:t xml:space="preserve">B-UTIL-MAN01</x:t>
        </x:is>
      </x:c>
      <x:c r="B36" s="17" t="inlineStr">
        <x:is>
          <x:t xml:space="preserve">Utility component</x:t>
        </x:is>
      </x:c>
      <x:c r="C36" s="17" t="inlineStr">
        <x:is>
          <x:t xml:space="preserve">Wash / utility hub</x:t>
        </x:is>
      </x:c>
      <x:c r="D36" s="17" t="inlineStr">
        <x:is>
          <x:t xml:space="preserve">Required</x:t>
        </x:is>
      </x:c>
      <x:c r="E36" s="17" t="n">
        <x:v>1</x:v>
      </x:c>
      <x:c r="F36" s="17" t="inlineStr">
        <x:is>
          <x:t xml:space="preserve">18 x 12 ACCESSIBLE UTILITY MANIFOLD / BRANCH ZONE</x:t>
        </x:is>
      </x:c>
      <x:c r="G36" s="18" t="inlineStr">
        <x:is>
          <x:t xml:space="preserve">Valves, traps, branch points and future connections</x:t>
        </x:is>
      </x:c>
      <x:c r="H36" s="19" t="n"/>
      <x:c r="I36" s="19" t="n"/>
      <x:c r="J36" s="19" t="n"/>
      <x:c r="K36" s="20" t="n">
        <x:v>18</x:v>
      </x:c>
      <x:c r="L36" s="20" t="n">
        <x:v>12</x:v>
      </x:c>
      <x:c r="M36" s="20" t="n">
        <x:v>30</x:v>
      </x:c>
      <x:c r="N36" s="20" t="n">
        <x:v>24</x:v>
      </x:c>
      <x:c r="O36" s="17" t="inlineStr">
        <x:is>
          <x:t xml:space="preserve"/>
        </x:is>
      </x:c>
      <x:c r="P36" s="17" t="inlineStr">
        <x:is>
          <x:t xml:space="preserve">Origin for future water/drain branches to nearby instruments</x:t>
        </x:is>
      </x:c>
      <x:c r="Q36" s="18" t="inlineStr">
        <x:is>
          <x:t xml:space="preserve"/>
        </x:is>
      </x:c>
      <x:c r="R36" s="18" t="inlineStr">
        <x:is>
          <x:t xml:space="preserve">Existing rough-in; exact lines, sizes and compatibility field verify</x:t>
        </x:is>
      </x:c>
      <x:c r="S36" s="18" t="inlineStr">
        <x:is>
          <x:t xml:space="preserve"/>
        </x:is>
      </x:c>
      <x:c r="T36" s="18" t="inlineStr">
        <x:is>
          <x:t xml:space="preserve"/>
        </x:is>
      </x:c>
      <x:c r="U36" s="17" t="inlineStr">
        <x:is>
          <x:t xml:space="preserve">Inside/behind B-FIX-WASH-ENV with permanent access</x:t>
        </x:is>
      </x:c>
      <x:c r="V36" s="17" t="inlineStr">
        <x:is>
          <x:t xml:space="preserve">Field/MEP verify</x:t>
        </x:is>
      </x:c>
      <x:c r="W36" s="18" t="inlineStr">
        <x:is>
          <x:t xml:space="preserve">AIT user direction</x:t>
        </x:is>
      </x:c>
      <x:c r="X36" s="18" t="inlineStr">
        <x:is>
          <x:t xml:space="preserve"/>
        </x:is>
      </x:c>
      <x:c r="Y36" s="17" t="inlineStr">
        <x:is>
          <x:t xml:space="preserve">Do not bury behind fixed full-depth cabinetry.</x:t>
        </x:is>
      </x:c>
      <x:c r="Z36" s="17" t="inlineStr">
        <x:is>
          <x:t xml:space="preserve">SCENARIO B - UTILITIES</x:t>
        </x:is>
      </x:c>
      <x:c r="AA36" s="17" t="inlineStr">
        <x:is>
          <x:t xml:space="preserve">No</x:t>
        </x:is>
      </x:c>
      <x:c r="AB36" s="22" t="str">
        <x:f>IF(OR(H36="",I36=""),"",H36*I36/144)</x:f>
      </x:c>
      <x:c r="AC36" s="22" t="n">
        <x:f>IF(OR(M36="",N36=""),"",M36*N36/144)</x:f>
        <x:v>5</x:v>
      </x:c>
      <x:c r="AD36" s="22" t="n">
        <x:f>IF(AA36="Yes",E36*K36*L36/144,0)</x:f>
        <x:v>0</x:v>
      </x:c>
      <x:c r="AE36" s="22" t="n">
        <x:f>IF(OR(K36="",L36=""),"",K36*L36/144)</x:f>
        <x:v>1.5</x:v>
      </x:c>
      <x:c r="AF36" s="23" t="str">
        <x:f>IF(LEFT(D36,8)="Required","REQ",IF(LEFT(D36,11)="Conditional","COND",IF(LEFT(D36,8)="Template","TEMPLATE","REF")))</x:f>
        <x:v>REQ</x:v>
      </x:c>
      <x:c r="AG36" s="23" t="str">
        <x:f>IF(OR(ISNUMBER(SEARCH("verify",V36)),ISNUMBER(SEARCH("allowance",V36))),"REVIEW","")</x:f>
        <x:v>REVIEW</x:v>
      </x:c>
    </x:row>
    <x:row r="37" ht="64" customHeight="1">
      <x:c r="A37" s="17" t="inlineStr">
        <x:is>
          <x:t xml:space="preserve">B-T-FIBER01</x:t>
        </x:is>
      </x:c>
      <x:c r="B37" s="17" t="inlineStr">
        <x:is>
          <x:t xml:space="preserve">Furniture</x:t>
        </x:is>
      </x:c>
      <x:c r="C37" s="17" t="inlineStr">
        <x:is>
          <x:t xml:space="preserve">Wet chemistry / fiber</x:t>
        </x:is>
      </x:c>
      <x:c r="D37" s="17" t="inlineStr">
        <x:is>
          <x:t xml:space="preserve">Required</x:t>
        </x:is>
      </x:c>
      <x:c r="E37" s="17" t="n">
        <x:v>1</x:v>
      </x:c>
      <x:c r="F37" s="17" t="inlineStr">
        <x:is>
          <x:t xml:space="preserve">72 x 36 OPEN CORROSION-RESISTANT WET BENCH - FIWE</x:t>
        </x:is>
      </x:c>
      <x:c r="G37" s="18" t="inlineStr">
        <x:is>
          <x:t xml:space="preserve">Uline-style phenolic lab workbench, open frame</x:t>
        </x:is>
      </x:c>
      <x:c r="H37" s="19" t="n"/>
      <x:c r="I37" s="19" t="n"/>
      <x:c r="J37" s="19" t="n"/>
      <x:c r="K37" s="20" t="n">
        <x:v>72</x:v>
      </x:c>
      <x:c r="L37" s="20" t="n">
        <x:v>36</x:v>
      </x:c>
      <x:c r="M37" s="20" t="n">
        <x:v>72</x:v>
      </x:c>
      <x:c r="N37" s="20" t="n">
        <x:v>36</x:v>
      </x:c>
      <x:c r="O37" s="17" t="inlineStr">
        <x:is>
          <x:t xml:space="preserve"/>
        </x:is>
      </x:c>
      <x:c r="P37" s="17" t="inlineStr">
        <x:is>
          <x:t xml:space="preserve">Supports B-EQ-FIBER03 and reagent handling</x:t>
        </x:is>
      </x:c>
      <x:c r="Q37" s="18" t="inlineStr">
        <x:is>
          <x:t xml:space="preserve"/>
        </x:is>
      </x:c>
      <x:c r="R37" s="18" t="inlineStr">
        <x:is>
          <x:t xml:space="preserve">Branch water/drain from east utility hub</x:t>
        </x:is>
      </x:c>
      <x:c r="S37" s="18" t="inlineStr">
        <x:is>
          <x:t xml:space="preserve"/>
        </x:is>
      </x:c>
      <x:c r="T37" s="18" t="inlineStr">
        <x:is>
          <x:t xml:space="preserve"/>
        </x:is>
      </x:c>
      <x:c r="U37" s="17" t="inlineStr">
        <x:is>
          <x:t xml:space="preserve">Immediately adjacent to wash station</x:t>
        </x:is>
      </x:c>
      <x:c r="V37" s="17" t="inlineStr">
        <x:is>
          <x:t xml:space="preserve">Source-verified module; final material compatibility verify</x:t>
        </x:is>
      </x:c>
      <x:c r="W37" s="18" t="inlineStr">
        <x:is>
          <x:t xml:space="preserve">Uline Lab Workbenches</x:t>
        </x:is>
      </x:c>
      <x:c r="X37" s="21" t="inlineStr">
        <x:is>
          <x:t xml:space="preserve">https://www.uline.com/BL_3509/Lab-Workbenches</x:t>
        </x:is>
      </x:c>
      <x:c r="Y37" s="17" t="inlineStr">
        <x:is>
          <x:t xml:space="preserve">Open frame is preferred for hoses, drains and service access.</x:t>
        </x:is>
      </x:c>
      <x:c r="Z37" s="17" t="inlineStr">
        <x:is>
          <x:t xml:space="preserve">SCENARIO B - FURNITURE</x:t>
        </x:is>
      </x:c>
      <x:c r="AA37" s="17" t="inlineStr">
        <x:is>
          <x:t xml:space="preserve">Yes</x:t>
        </x:is>
      </x:c>
      <x:c r="AB37" s="22" t="str">
        <x:f>IF(OR(H37="",I37=""),"",H37*I37/144)</x:f>
      </x:c>
      <x:c r="AC37" s="22" t="n">
        <x:f>IF(OR(M37="",N37=""),"",M37*N37/144)</x:f>
        <x:v>18</x:v>
      </x:c>
      <x:c r="AD37" s="22" t="n">
        <x:f>IF(AA37="Yes",E37*K37*L37/144,0)</x:f>
        <x:v>18</x:v>
      </x:c>
      <x:c r="AE37" s="22" t="n">
        <x:f>IF(OR(K37="",L37=""),"",K37*L37/144)</x:f>
        <x:v>18</x:v>
      </x:c>
      <x:c r="AF37" s="23" t="str">
        <x:f>IF(LEFT(D37,8)="Required","REQ",IF(LEFT(D37,11)="Conditional","COND",IF(LEFT(D37,8)="Template","TEMPLATE","REF")))</x:f>
        <x:v>REQ</x:v>
      </x:c>
      <x:c r="AG37" s="23" t="str">
        <x:f>IF(OR(ISNUMBER(SEARCH("verify",V37)),ISNUMBER(SEARCH("allowance",V37))),"REVIEW","")</x:f>
        <x:v>REVIEW</x:v>
      </x:c>
    </x:row>
    <x:row r="38" ht="64" customHeight="1">
      <x:c r="A38" s="17" t="inlineStr">
        <x:is>
          <x:t xml:space="preserve">B-HOOD-SOX01</x:t>
        </x:is>
      </x:c>
      <x:c r="B38" s="17" t="inlineStr">
        <x:is>
          <x:t xml:space="preserve">Fixture</x:t>
        </x:is>
      </x:c>
      <x:c r="C38" s="17" t="inlineStr">
        <x:is>
          <x:t xml:space="preserve">Solvent extraction</x:t>
        </x:is>
      </x:c>
      <x:c r="D38" s="17" t="inlineStr">
        <x:is>
          <x:t xml:space="preserve">Required</x:t>
        </x:is>
      </x:c>
      <x:c r="E38" s="17" t="n">
        <x:v>1</x:v>
      </x:c>
      <x:c r="F38" s="17" t="inlineStr">
        <x:is>
          <x:t xml:space="preserve">96 x 36 SOXHLET FUME-HOOD / SOLVENT WORK ENVELOPE</x:t>
        </x:is>
      </x:c>
      <x:c r="G38" s="18" t="inlineStr">
        <x:is>
          <x:t xml:space="preserve">Purpose-built fume hood - model to select</x:t>
        </x:is>
      </x:c>
      <x:c r="H38" s="19" t="n"/>
      <x:c r="I38" s="19" t="n"/>
      <x:c r="J38" s="19" t="n"/>
      <x:c r="K38" s="20" t="n">
        <x:v>96</x:v>
      </x:c>
      <x:c r="L38" s="20" t="n">
        <x:v>36</x:v>
      </x:c>
      <x:c r="M38" s="20" t="n">
        <x:v>96</x:v>
      </x:c>
      <x:c r="N38" s="20" t="n">
        <x:v>84</x:v>
      </x:c>
      <x:c r="O38" s="17" t="inlineStr">
        <x:is>
          <x:t xml:space="preserve"/>
        </x:is>
      </x:c>
      <x:c r="P38" s="17" t="inlineStr">
        <x:is>
          <x:t xml:space="preserve">Houses B-EQ-FAT06 and solvent recovery/handling</x:t>
        </x:is>
      </x:c>
      <x:c r="Q38" s="18" t="inlineStr">
        <x:is>
          <x:t xml:space="preserve">Final hood and heater circuits verify</x:t>
        </x:is>
      </x:c>
      <x:c r="R38" s="18" t="inlineStr">
        <x:is>
          <x:t xml:space="preserve">Condenser water/return or recirculator; solvent waste</x:t>
        </x:is>
      </x:c>
      <x:c r="S38" s="18" t="inlineStr">
        <x:is>
          <x:t xml:space="preserve"/>
        </x:is>
      </x:c>
      <x:c r="T38" s="18" t="inlineStr">
        <x:is>
          <x:t xml:space="preserve">Interlocked solvent exhaust</x:t>
        </x:is>
      </x:c>
      <x:c r="U38" s="17" t="inlineStr">
        <x:is>
          <x:t xml:space="preserve">East/northeast utility side; separated from furnace/ignition sources</x:t>
        </x:is>
      </x:c>
      <x:c r="V38" s="17" t="inlineStr">
        <x:is>
          <x:t xml:space="preserve">Planning allowance - hood selection and EHS/MEP design required</x:t>
        </x:is>
      </x:c>
      <x:c r="W38" s="18" t="inlineStr">
        <x:is>
          <x:t xml:space="preserve">Scenario B workbook FAT-06</x:t>
        </x:is>
      </x:c>
      <x:c r="X38" s="18" t="inlineStr">
        <x:is>
          <x:t xml:space="preserve"/>
        </x:is>
      </x:c>
      <x:c r="Y38" s="17" t="inlineStr">
        <x:is>
          <x:t xml:space="preserve">The 84-in envelope includes a provisional 48-in operator/working zone in front. Do not use an ordinary Uline table as the hood.</x:t>
        </x:is>
      </x:c>
      <x:c r="Z38" s="17" t="inlineStr">
        <x:is>
          <x:t xml:space="preserve">SCENARIO B - FURNITURE</x:t>
        </x:is>
      </x:c>
      <x:c r="AA38" s="17" t="inlineStr">
        <x:is>
          <x:t xml:space="preserve">Yes</x:t>
        </x:is>
      </x:c>
      <x:c r="AB38" s="22" t="str">
        <x:f>IF(OR(H38="",I38=""),"",H38*I38/144)</x:f>
      </x:c>
      <x:c r="AC38" s="22" t="n">
        <x:f>IF(OR(M38="",N38=""),"",M38*N38/144)</x:f>
        <x:v>56</x:v>
      </x:c>
      <x:c r="AD38" s="22" t="n">
        <x:f>IF(AA38="Yes",E38*K38*L38/144,0)</x:f>
        <x:v>24</x:v>
      </x:c>
      <x:c r="AE38" s="22" t="n">
        <x:f>IF(OR(K38="",L38=""),"",K38*L38/144)</x:f>
        <x:v>24</x:v>
      </x:c>
      <x:c r="AF38" s="23" t="str">
        <x:f>IF(LEFT(D38,8)="Required","REQ",IF(LEFT(D38,11)="Conditional","COND",IF(LEFT(D38,8)="Template","TEMPLATE","REF")))</x:f>
        <x:v>REQ</x:v>
      </x:c>
      <x:c r="AG38" s="23" t="str">
        <x:f>IF(OR(ISNUMBER(SEARCH("verify",V38)),ISNUMBER(SEARCH("allowance",V38))),"REVIEW","")</x:f>
        <x:v>REVIEW</x:v>
      </x:c>
    </x:row>
    <x:row r="39" ht="64" customHeight="1">
      <x:c r="A39" s="17" t="inlineStr">
        <x:is>
          <x:t xml:space="preserve">B-STOR-FLAM01</x:t>
        </x:is>
      </x:c>
      <x:c r="B39" s="17" t="inlineStr">
        <x:is>
          <x:t xml:space="preserve">Storage</x:t>
        </x:is>
      </x:c>
      <x:c r="C39" s="17" t="inlineStr">
        <x:is>
          <x:t xml:space="preserve">Solvent extraction</x:t>
        </x:is>
      </x:c>
      <x:c r="D39" s="17" t="inlineStr">
        <x:is>
          <x:t xml:space="preserve">Required</x:t>
        </x:is>
      </x:c>
      <x:c r="E39" s="17" t="n">
        <x:v>1</x:v>
      </x:c>
      <x:c r="F39" s="17" t="inlineStr">
        <x:is>
          <x:t xml:space="preserve">36 x 24 FLAMMABLES CABINET</x:t>
        </x:is>
      </x:c>
      <x:c r="G39" s="18" t="inlineStr">
        <x:is>
          <x:t xml:space="preserve">Approved flammables cabinet - model/capacity to select</x:t>
        </x:is>
      </x:c>
      <x:c r="H39" s="19" t="n"/>
      <x:c r="I39" s="19" t="n"/>
      <x:c r="J39" s="19" t="n"/>
      <x:c r="K39" s="20" t="n">
        <x:v>36</x:v>
      </x:c>
      <x:c r="L39" s="20" t="n">
        <x:v>24</x:v>
      </x:c>
      <x:c r="M39" s="20" t="n">
        <x:v>48</x:v>
      </x:c>
      <x:c r="N39" s="20" t="n">
        <x:v>36</x:v>
      </x:c>
      <x:c r="O39" s="17" t="inlineStr">
        <x:is>
          <x:t xml:space="preserve"/>
        </x:is>
      </x:c>
      <x:c r="P39" s="17" t="inlineStr">
        <x:is>
          <x:t xml:space="preserve">Solvent storage for conventional Soxhlet</x:t>
        </x:is>
      </x:c>
      <x:c r="Q39" s="18" t="inlineStr">
        <x:is>
          <x:t xml:space="preserve"/>
        </x:is>
      </x:c>
      <x:c r="R39" s="18" t="inlineStr">
        <x:is>
          <x:t xml:space="preserve"/>
        </x:is>
      </x:c>
      <x:c r="S39" s="18" t="inlineStr">
        <x:is>
          <x:t xml:space="preserve"/>
        </x:is>
      </x:c>
      <x:c r="T39" s="18" t="inlineStr">
        <x:is>
          <x:t xml:space="preserve"/>
        </x:is>
      </x:c>
      <x:c r="U39" s="17" t="inlineStr">
        <x:is>
          <x:t xml:space="preserve">Near but not obstructing hood; EHS/fire-code placement verify</x:t>
        </x:is>
      </x:c>
      <x:c r="V39" s="17" t="inlineStr">
        <x:is>
          <x:t xml:space="preserve">Planning allowance</x:t>
        </x:is>
      </x:c>
      <x:c r="W39" s="18" t="inlineStr">
        <x:is>
          <x:t xml:space="preserve">Scenario B site requirements</x:t>
        </x:is>
      </x:c>
      <x:c r="X39" s="18" t="inlineStr">
        <x:is>
          <x:t xml:space="preserve"/>
        </x:is>
      </x:c>
      <x:c r="Y39" s="17" t="inlineStr">
        <x:is>
          <x:t xml:space="preserve">Cabinet capacity and ventilation policy require EHS review.</x:t>
        </x:is>
      </x:c>
      <x:c r="Z39" s="17" t="inlineStr">
        <x:is>
          <x:t xml:space="preserve">SCENARIO B - FURNITURE</x:t>
        </x:is>
      </x:c>
      <x:c r="AA39" s="17" t="inlineStr">
        <x:is>
          <x:t xml:space="preserve">Yes</x:t>
        </x:is>
      </x:c>
      <x:c r="AB39" s="22" t="str">
        <x:f>IF(OR(H39="",I39=""),"",H39*I39/144)</x:f>
      </x:c>
      <x:c r="AC39" s="22" t="n">
        <x:f>IF(OR(M39="",N39=""),"",M39*N39/144)</x:f>
        <x:v>12</x:v>
      </x:c>
      <x:c r="AD39" s="22" t="n">
        <x:f>IF(AA39="Yes",E39*K39*L39/144,0)</x:f>
        <x:v>6</x:v>
      </x:c>
      <x:c r="AE39" s="22" t="n">
        <x:f>IF(OR(K39="",L39=""),"",K39*L39/144)</x:f>
        <x:v>6</x:v>
      </x:c>
      <x:c r="AF39" s="23" t="str">
        <x:f>IF(LEFT(D39,8)="Required","REQ",IF(LEFT(D39,11)="Conditional","COND",IF(LEFT(D39,8)="Template","TEMPLATE","REF")))</x:f>
        <x:v>REQ</x:v>
      </x:c>
      <x:c r="AG39" s="23" t="str">
        <x:f>IF(OR(ISNUMBER(SEARCH("verify",V39)),ISNUMBER(SEARCH("allowance",V39))),"REVIEW","")</x:f>
        <x:v>REVIEW</x:v>
      </x:c>
    </x:row>
    <x:row r="40" ht="64" customHeight="1">
      <x:c r="A40" s="17" t="inlineStr">
        <x:is>
          <x:t xml:space="preserve">B-WASTE-SOLV01</x:t>
        </x:is>
      </x:c>
      <x:c r="B40" s="17" t="inlineStr">
        <x:is>
          <x:t xml:space="preserve">Waste zone</x:t>
        </x:is>
      </x:c>
      <x:c r="C40" s="17" t="inlineStr">
        <x:is>
          <x:t xml:space="preserve">Solvent extraction</x:t>
        </x:is>
      </x:c>
      <x:c r="D40" s="17" t="inlineStr">
        <x:is>
          <x:t xml:space="preserve">Required</x:t>
        </x:is>
      </x:c>
      <x:c r="E40" s="17" t="n">
        <x:v>1</x:v>
      </x:c>
      <x:c r="F40" s="17" t="inlineStr">
        <x:is>
          <x:t xml:space="preserve">24 x 24 SOLVENT-WASTE ZONE</x:t>
        </x:is>
      </x:c>
      <x:c r="G40" s="18" t="inlineStr">
        <x:is>
          <x:t xml:space="preserve">Secondary-contained waste container zone</x:t>
        </x:is>
      </x:c>
      <x:c r="H40" s="19" t="n"/>
      <x:c r="I40" s="19" t="n"/>
      <x:c r="J40" s="19" t="n"/>
      <x:c r="K40" s="20" t="n">
        <x:v>24</x:v>
      </x:c>
      <x:c r="L40" s="20" t="n">
        <x:v>24</x:v>
      </x:c>
      <x:c r="M40" s="20" t="n">
        <x:v>36</x:v>
      </x:c>
      <x:c r="N40" s="20" t="n">
        <x:v>36</x:v>
      </x:c>
      <x:c r="O40" s="17" t="inlineStr">
        <x:is>
          <x:t xml:space="preserve"/>
        </x:is>
      </x:c>
      <x:c r="P40" s="17" t="inlineStr">
        <x:is>
          <x:t xml:space="preserve">Soxhlet solvent waste and recovery handling</x:t>
        </x:is>
      </x:c>
      <x:c r="Q40" s="18" t="inlineStr">
        <x:is>
          <x:t xml:space="preserve"/>
        </x:is>
      </x:c>
      <x:c r="R40" s="18" t="inlineStr">
        <x:is>
          <x:t xml:space="preserve"/>
        </x:is>
      </x:c>
      <x:c r="S40" s="18" t="inlineStr">
        <x:is>
          <x:t xml:space="preserve"/>
        </x:is>
      </x:c>
      <x:c r="T40" s="18" t="inlineStr">
        <x:is>
          <x:t xml:space="preserve"/>
        </x:is>
      </x:c>
      <x:c r="U40" s="17" t="inlineStr">
        <x:is>
          <x:t xml:space="preserve">Near hood with safe access; final container and limits verify</x:t>
        </x:is>
      </x:c>
      <x:c r="V40" s="17" t="inlineStr">
        <x:is>
          <x:t xml:space="preserve">Planning allowance</x:t>
        </x:is>
      </x:c>
      <x:c r="W40" s="18" t="inlineStr">
        <x:is>
          <x:t xml:space="preserve">Scenario B site requirements</x:t>
        </x:is>
      </x:c>
      <x:c r="X40" s="18" t="inlineStr">
        <x:is>
          <x:t xml:space="preserve"/>
        </x:is>
      </x:c>
      <x:c r="Y40" s="17" t="inlineStr">
        <x:is>
          <x:t xml:space="preserve">Keep separated from heat and traffic; final EHS design controls.</x:t>
        </x:is>
      </x:c>
      <x:c r="Z40" s="17" t="inlineStr">
        <x:is>
          <x:t xml:space="preserve">SCENARIO B - FURNITURE</x:t>
        </x:is>
      </x:c>
      <x:c r="AA40" s="17" t="inlineStr">
        <x:is>
          <x:t xml:space="preserve">Yes</x:t>
        </x:is>
      </x:c>
      <x:c r="AB40" s="22" t="str">
        <x:f>IF(OR(H40="",I40=""),"",H40*I40/144)</x:f>
      </x:c>
      <x:c r="AC40" s="22" t="n">
        <x:f>IF(OR(M40="",N40=""),"",M40*N40/144)</x:f>
        <x:v>9</x:v>
      </x:c>
      <x:c r="AD40" s="22" t="n">
        <x:f>IF(AA40="Yes",E40*K40*L40/144,0)</x:f>
        <x:v>4</x:v>
      </x:c>
      <x:c r="AE40" s="22" t="n">
        <x:f>IF(OR(K40="",L40=""),"",K40*L40/144)</x:f>
        <x:v>4</x:v>
      </x:c>
      <x:c r="AF40" s="23" t="str">
        <x:f>IF(LEFT(D40,8)="Required","REQ",IF(LEFT(D40,11)="Conditional","COND",IF(LEFT(D40,8)="Template","TEMPLATE","REF")))</x:f>
        <x:v>REQ</x:v>
      </x:c>
      <x:c r="AG40" s="23" t="str">
        <x:f>IF(OR(ISNUMBER(SEARCH("verify",V40)),ISNUMBER(SEARCH("allowance",V40))),"REVIEW","")</x:f>
        <x:v>REVIEW</x:v>
      </x:c>
    </x:row>
    <x:row r="41" ht="64" customHeight="1">
      <x:c r="A41" s="17" t="inlineStr">
        <x:is>
          <x:t xml:space="preserve">B-HOOD-AA01</x:t>
        </x:is>
      </x:c>
      <x:c r="B41" s="17" t="inlineStr">
        <x:is>
          <x:t xml:space="preserve">Fixture</x:t>
        </x:is>
      </x:c>
      <x:c r="C41" s="17" t="inlineStr">
        <x:is>
          <x:t xml:space="preserve">Wet chemistry / acid prep</x:t>
        </x:is>
      </x:c>
      <x:c r="D41" s="17" t="inlineStr">
        <x:is>
          <x:t xml:space="preserve">Required</x:t>
        </x:is>
      </x:c>
      <x:c r="E41" s="17" t="n">
        <x:v>1</x:v>
      </x:c>
      <x:c r="F41" s="17" t="inlineStr">
        <x:is>
          <x:t xml:space="preserve">72 x 36 AMINO-ACID ACID-PREP HOOD / WET-BENCH ENVELOPE</x:t>
        </x:is>
      </x:c>
      <x:c r="G41" s="18" t="inlineStr">
        <x:is>
          <x:t xml:space="preserve">Purpose-built acid-resistant hood - model to select</x:t>
        </x:is>
      </x:c>
      <x:c r="H41" s="19" t="n"/>
      <x:c r="I41" s="19" t="n"/>
      <x:c r="J41" s="19" t="n"/>
      <x:c r="K41" s="20" t="n">
        <x:v>72</x:v>
      </x:c>
      <x:c r="L41" s="20" t="n">
        <x:v>36</x:v>
      </x:c>
      <x:c r="M41" s="20" t="n">
        <x:v>72</x:v>
      </x:c>
      <x:c r="N41" s="20" t="n">
        <x:v>84</x:v>
      </x:c>
      <x:c r="O41" s="17" t="inlineStr">
        <x:is>
          <x:t xml:space="preserve"/>
        </x:is>
      </x:c>
      <x:c r="P41" s="17" t="inlineStr">
        <x:is>
          <x:t xml:space="preserve">Houses B-EQ-AAPREP01</x:t>
        </x:is>
      </x:c>
      <x:c r="Q41" s="18" t="inlineStr">
        <x:is>
          <x:t xml:space="preserve">Final evaporator/block circuits verify</x:t>
        </x:is>
      </x:c>
      <x:c r="R41" s="18" t="inlineStr">
        <x:is>
          <x:t xml:space="preserve">Sink/waste connection or immediate access</x:t>
        </x:is>
      </x:c>
      <x:c r="S41" s="18" t="inlineStr">
        <x:is>
          <x:t xml:space="preserve">Nitrogen for evaporator</x:t>
        </x:is>
      </x:c>
      <x:c r="T41" s="18" t="inlineStr">
        <x:is>
          <x:t xml:space="preserve">Acid fume hood</x:t>
        </x:is>
      </x:c>
      <x:c r="U41" s="17" t="inlineStr">
        <x:is>
          <x:t xml:space="preserve">East utility spine; keep separate from clean Sykam modules</x:t>
        </x:is>
      </x:c>
      <x:c r="V41" s="17" t="inlineStr">
        <x:is>
          <x:t xml:space="preserve">Planning allowance - selected equipment and hood design required</x:t>
        </x:is>
      </x:c>
      <x:c r="W41" s="18" t="inlineStr">
        <x:is>
          <x:t xml:space="preserve">Scenario B site requirements</x:t>
        </x:is>
      </x:c>
      <x:c r="X41" s="18" t="inlineStr">
        <x:is>
          <x:t xml:space="preserve"/>
        </x:is>
      </x:c>
      <x:c r="Y41" s="17" t="inlineStr">
        <x:is>
          <x:t xml:space="preserve">The 84-in envelope includes a provisional 48-in operator zone in front.</x:t>
        </x:is>
      </x:c>
      <x:c r="Z41" s="17" t="inlineStr">
        <x:is>
          <x:t xml:space="preserve">SCENARIO B - FURNITURE</x:t>
        </x:is>
      </x:c>
      <x:c r="AA41" s="17" t="inlineStr">
        <x:is>
          <x:t xml:space="preserve">Yes</x:t>
        </x:is>
      </x:c>
      <x:c r="AB41" s="22" t="str">
        <x:f>IF(OR(H41="",I41=""),"",H41*I41/144)</x:f>
      </x:c>
      <x:c r="AC41" s="22" t="n">
        <x:f>IF(OR(M41="",N41=""),"",M41*N41/144)</x:f>
        <x:v>42</x:v>
      </x:c>
      <x:c r="AD41" s="22" t="n">
        <x:f>IF(AA41="Yes",E41*K41*L41/144,0)</x:f>
        <x:v>18</x:v>
      </x:c>
      <x:c r="AE41" s="22" t="n">
        <x:f>IF(OR(K41="",L41=""),"",K41*L41/144)</x:f>
        <x:v>18</x:v>
      </x:c>
      <x:c r="AF41" s="23" t="str">
        <x:f>IF(LEFT(D41,8)="Required","REQ",IF(LEFT(D41,11)="Conditional","COND",IF(LEFT(D41,8)="Template","TEMPLATE","REF")))</x:f>
        <x:v>REQ</x:v>
      </x:c>
      <x:c r="AG41" s="23" t="str">
        <x:f>IF(OR(ISNUMBER(SEARCH("verify",V41)),ISNUMBER(SEARCH("allowance",V41))),"REVIEW","")</x:f>
        <x:v>REVIEW</x:v>
      </x:c>
    </x:row>
    <x:row r="42" ht="64" customHeight="1">
      <x:c r="A42" s="17" t="inlineStr">
        <x:is>
          <x:t xml:space="preserve">B-STOR-CORR01</x:t>
        </x:is>
      </x:c>
      <x:c r="B42" s="17" t="inlineStr">
        <x:is>
          <x:t xml:space="preserve">Storage</x:t>
        </x:is>
      </x:c>
      <x:c r="C42" s="17" t="inlineStr">
        <x:is>
          <x:t xml:space="preserve">Wet chemistry / acid prep</x:t>
        </x:is>
      </x:c>
      <x:c r="D42" s="17" t="inlineStr">
        <x:is>
          <x:t xml:space="preserve">Required</x:t>
        </x:is>
      </x:c>
      <x:c r="E42" s="17" t="n">
        <x:v>1</x:v>
      </x:c>
      <x:c r="F42" s="17" t="inlineStr">
        <x:is>
          <x:t xml:space="preserve">36 x 24 CORROSIVES CABINET</x:t>
        </x:is>
      </x:c>
      <x:c r="G42" s="18" t="inlineStr">
        <x:is>
          <x:t xml:space="preserve">Approved acid/base cabinet - model/capacity to select</x:t>
        </x:is>
      </x:c>
      <x:c r="H42" s="19" t="n"/>
      <x:c r="I42" s="19" t="n"/>
      <x:c r="J42" s="19" t="n"/>
      <x:c r="K42" s="20" t="n">
        <x:v>36</x:v>
      </x:c>
      <x:c r="L42" s="20" t="n">
        <x:v>24</x:v>
      </x:c>
      <x:c r="M42" s="20" t="n">
        <x:v>48</x:v>
      </x:c>
      <x:c r="N42" s="20" t="n">
        <x:v>36</x:v>
      </x:c>
      <x:c r="O42" s="17" t="inlineStr">
        <x:is>
          <x:t xml:space="preserve"/>
        </x:is>
      </x:c>
      <x:c r="P42" s="17" t="inlineStr">
        <x:is>
          <x:t xml:space="preserve">Acids/bases for phosphorus, starch, fiber and amino-acid prep</x:t>
        </x:is>
      </x:c>
      <x:c r="Q42" s="18" t="inlineStr">
        <x:is>
          <x:t xml:space="preserve"/>
        </x:is>
      </x:c>
      <x:c r="R42" s="18" t="inlineStr">
        <x:is>
          <x:t xml:space="preserve"/>
        </x:is>
      </x:c>
      <x:c r="S42" s="18" t="inlineStr">
        <x:is>
          <x:t xml:space="preserve"/>
        </x:is>
      </x:c>
      <x:c r="T42" s="18" t="inlineStr">
        <x:is>
          <x:t xml:space="preserve"/>
        </x:is>
      </x:c>
      <x:c r="U42" s="17" t="inlineStr">
        <x:is>
          <x:t xml:space="preserve">Near wet/acid prep without blocking manifold, sink or hood access</x:t>
        </x:is>
      </x:c>
      <x:c r="V42" s="17" t="inlineStr">
        <x:is>
          <x:t xml:space="preserve">Planning allowance</x:t>
        </x:is>
      </x:c>
      <x:c r="W42" s="18" t="inlineStr">
        <x:is>
          <x:t xml:space="preserve">Scenario B site requirements</x:t>
        </x:is>
      </x:c>
      <x:c r="X42" s="18" t="inlineStr">
        <x:is>
          <x:t xml:space="preserve"/>
        </x:is>
      </x:c>
      <x:c r="Y42" s="17" t="inlineStr">
        <x:is>
          <x:t xml:space="preserve">Segregation and capacity require EHS review.</x:t>
        </x:is>
      </x:c>
      <x:c r="Z42" s="17" t="inlineStr">
        <x:is>
          <x:t xml:space="preserve">SCENARIO B - FURNITURE</x:t>
        </x:is>
      </x:c>
      <x:c r="AA42" s="17" t="inlineStr">
        <x:is>
          <x:t xml:space="preserve">Yes</x:t>
        </x:is>
      </x:c>
      <x:c r="AB42" s="22" t="str">
        <x:f>IF(OR(H42="",I42=""),"",H42*I42/144)</x:f>
      </x:c>
      <x:c r="AC42" s="22" t="n">
        <x:f>IF(OR(M42="",N42=""),"",M42*N42/144)</x:f>
        <x:v>12</x:v>
      </x:c>
      <x:c r="AD42" s="22" t="n">
        <x:f>IF(AA42="Yes",E42*K42*L42/144,0)</x:f>
        <x:v>6</x:v>
      </x:c>
      <x:c r="AE42" s="22" t="n">
        <x:f>IF(OR(K42="",L42=""),"",K42*L42/144)</x:f>
        <x:v>6</x:v>
      </x:c>
      <x:c r="AF42" s="23" t="str">
        <x:f>IF(LEFT(D42,8)="Required","REQ",IF(LEFT(D42,11)="Conditional","COND",IF(LEFT(D42,8)="Template","TEMPLATE","REF")))</x:f>
        <x:v>REQ</x:v>
      </x:c>
      <x:c r="AG42" s="23" t="str">
        <x:f>IF(OR(ISNUMBER(SEARCH("verify",V42)),ISNUMBER(SEARCH("allowance",V42))),"REVIEW","")</x:f>
        <x:v>REVIEW</x:v>
      </x:c>
    </x:row>
    <x:row r="43" ht="64" customHeight="1">
      <x:c r="A43" s="17" t="inlineStr">
        <x:is>
          <x:t xml:space="preserve">B-WASTE-CHEM01</x:t>
        </x:is>
      </x:c>
      <x:c r="B43" s="17" t="inlineStr">
        <x:is>
          <x:t xml:space="preserve">Waste zone</x:t>
        </x:is>
      </x:c>
      <x:c r="C43" s="17" t="inlineStr">
        <x:is>
          <x:t xml:space="preserve">Wet chemistry / acid prep</x:t>
        </x:is>
      </x:c>
      <x:c r="D43" s="17" t="inlineStr">
        <x:is>
          <x:t xml:space="preserve">Required</x:t>
        </x:is>
      </x:c>
      <x:c r="E43" s="17" t="n">
        <x:v>1</x:v>
      </x:c>
      <x:c r="F43" s="17" t="inlineStr">
        <x:is>
          <x:t xml:space="preserve">24 x 24 CHEMICAL-WASTE ZONE</x:t>
        </x:is>
      </x:c>
      <x:c r="G43" s="18" t="inlineStr">
        <x:is>
          <x:t xml:space="preserve">Secondary-contained compatible waste zone</x:t>
        </x:is>
      </x:c>
      <x:c r="H43" s="19" t="n"/>
      <x:c r="I43" s="19" t="n"/>
      <x:c r="J43" s="19" t="n"/>
      <x:c r="K43" s="20" t="n">
        <x:v>24</x:v>
      </x:c>
      <x:c r="L43" s="20" t="n">
        <x:v>24</x:v>
      </x:c>
      <x:c r="M43" s="20" t="n">
        <x:v>36</x:v>
      </x:c>
      <x:c r="N43" s="20" t="n">
        <x:v>36</x:v>
      </x:c>
      <x:c r="O43" s="17" t="inlineStr">
        <x:is>
          <x:t xml:space="preserve"/>
        </x:is>
      </x:c>
      <x:c r="P43" s="17" t="inlineStr">
        <x:is>
          <x:t xml:space="preserve">Acid/base and amino-acid prep waste</x:t>
        </x:is>
      </x:c>
      <x:c r="Q43" s="18" t="inlineStr">
        <x:is>
          <x:t xml:space="preserve"/>
        </x:is>
      </x:c>
      <x:c r="R43" s="18" t="inlineStr">
        <x:is>
          <x:t xml:space="preserve"/>
        </x:is>
      </x:c>
      <x:c r="S43" s="18" t="inlineStr">
        <x:is>
          <x:t xml:space="preserve"/>
        </x:is>
      </x:c>
      <x:c r="T43" s="18" t="inlineStr">
        <x:is>
          <x:t xml:space="preserve"/>
        </x:is>
      </x:c>
      <x:c r="U43" s="17" t="inlineStr">
        <x:is>
          <x:t xml:space="preserve">Near hood/wash zone with accessible removal path</x:t>
        </x:is>
      </x:c>
      <x:c r="V43" s="17" t="inlineStr">
        <x:is>
          <x:t xml:space="preserve">Planning allowance</x:t>
        </x:is>
      </x:c>
      <x:c r="W43" s="18" t="inlineStr">
        <x:is>
          <x:t xml:space="preserve">Scenario B site requirements</x:t>
        </x:is>
      </x:c>
      <x:c r="X43" s="18" t="inlineStr">
        <x:is>
          <x:t xml:space="preserve"/>
        </x:is>
      </x:c>
      <x:c r="Y43" s="17" t="inlineStr">
        <x:is>
          <x:t xml:space="preserve">Waste compatibility and drain prohibition/allowance must be determined before construction.</x:t>
        </x:is>
      </x:c>
      <x:c r="Z43" s="17" t="inlineStr">
        <x:is>
          <x:t xml:space="preserve">SCENARIO B - FURNITURE</x:t>
        </x:is>
      </x:c>
      <x:c r="AA43" s="17" t="inlineStr">
        <x:is>
          <x:t xml:space="preserve">Yes</x:t>
        </x:is>
      </x:c>
      <x:c r="AB43" s="22" t="str">
        <x:f>IF(OR(H43="",I43=""),"",H43*I43/144)</x:f>
      </x:c>
      <x:c r="AC43" s="22" t="n">
        <x:f>IF(OR(M43="",N43=""),"",M43*N43/144)</x:f>
        <x:v>9</x:v>
      </x:c>
      <x:c r="AD43" s="22" t="n">
        <x:f>IF(AA43="Yes",E43*K43*L43/144,0)</x:f>
        <x:v>4</x:v>
      </x:c>
      <x:c r="AE43" s="22" t="n">
        <x:f>IF(OR(K43="",L43=""),"",K43*L43/144)</x:f>
        <x:v>4</x:v>
      </x:c>
      <x:c r="AF43" s="23" t="str">
        <x:f>IF(LEFT(D43,8)="Required","REQ",IF(LEFT(D43,11)="Conditional","COND",IF(LEFT(D43,8)="Template","TEMPLATE","REF")))</x:f>
        <x:v>REQ</x:v>
      </x:c>
      <x:c r="AG43" s="23" t="str">
        <x:f>IF(OR(ISNUMBER(SEARCH("verify",V43)),ISNUMBER(SEARCH("allowance",V43))),"REVIEW","")</x:f>
        <x:v>REVIEW</x:v>
      </x:c>
    </x:row>
    <x:row r="44" ht="64" customHeight="1">
      <x:c r="A44" s="17" t="inlineStr">
        <x:is>
          <x:t xml:space="preserve">B-T-THERM01</x:t>
        </x:is>
      </x:c>
      <x:c r="B44" s="17" t="inlineStr">
        <x:is>
          <x:t xml:space="preserve">Furniture</x:t>
        </x:is>
      </x:c>
      <x:c r="C44" s="17" t="inlineStr">
        <x:is>
          <x:t xml:space="preserve">Thermal / gravimetric</x:t>
        </x:is>
      </x:c>
      <x:c r="D44" s="17" t="inlineStr">
        <x:is>
          <x:t xml:space="preserve">Required - location decision</x:t>
        </x:is>
      </x:c>
      <x:c r="E44" s="17" t="n">
        <x:v>1</x:v>
      </x:c>
      <x:c r="F44" s="17" t="inlineStr">
        <x:is>
          <x:t xml:space="preserve">36 x 30 HEAT-RATED STAND - OVEN</x:t>
        </x:is>
      </x:c>
      <x:c r="G44" s="18" t="inlineStr">
        <x:is>
          <x:t xml:space="preserve">Purpose-built heat-rated equipment stand</x:t>
        </x:is>
      </x:c>
      <x:c r="H44" s="19" t="n"/>
      <x:c r="I44" s="19" t="n"/>
      <x:c r="J44" s="19" t="n"/>
      <x:c r="K44" s="20" t="n">
        <x:v>36</x:v>
      </x:c>
      <x:c r="L44" s="20" t="n">
        <x:v>30</x:v>
      </x:c>
      <x:c r="M44" s="20" t="n">
        <x:v>36</x:v>
      </x:c>
      <x:c r="N44" s="20" t="n">
        <x:v>30</x:v>
      </x:c>
      <x:c r="O44" s="17" t="inlineStr">
        <x:is>
          <x:t xml:space="preserve"/>
        </x:is>
      </x:c>
      <x:c r="P44" s="17" t="inlineStr">
        <x:is>
          <x:t xml:space="preserve">Supports B-EQ-MOIST02A</x:t>
        </x:is>
      </x:c>
      <x:c r="Q44" s="18" t="inlineStr">
        <x:is>
          <x:t xml:space="preserve"/>
        </x:is>
      </x:c>
      <x:c r="R44" s="18" t="inlineStr">
        <x:is>
          <x:t xml:space="preserve"/>
        </x:is>
      </x:c>
      <x:c r="S44" s="18" t="inlineStr">
        <x:is>
          <x:t xml:space="preserve"/>
        </x:is>
      </x:c>
      <x:c r="T44" s="18" t="inlineStr">
        <x:is>
          <x:t xml:space="preserve"/>
        </x:is>
      </x:c>
      <x:c r="U44" s="17" t="inlineStr">
        <x:is>
          <x:t xml:space="preserve">Drying Room preferred if approved; otherwise thermal zone</x:t>
        </x:is>
      </x:c>
      <x:c r="V44" s="17" t="inlineStr">
        <x:is>
          <x:t xml:space="preserve">Planning allowance - not an ordinary phenolic bench selection</x:t>
        </x:is>
      </x:c>
      <x:c r="W44" s="18" t="inlineStr">
        <x:is>
          <x:t xml:space="preserve">Scenario B site requirements</x:t>
        </x:is>
      </x:c>
      <x:c r="X44" s="18" t="inlineStr">
        <x:is>
          <x:t xml:space="preserve"/>
        </x:is>
      </x:c>
      <x:c r="Y44" s="17" t="inlineStr">
        <x:is>
          <x:t xml:space="preserve">Final heat rating, wall clearance and anchoring per OEM/MEP.</x:t>
        </x:is>
      </x:c>
      <x:c r="Z44" s="17" t="inlineStr">
        <x:is>
          <x:t xml:space="preserve">SCENARIO B - FURNITURE</x:t>
        </x:is>
      </x:c>
      <x:c r="AA44" s="17" t="inlineStr">
        <x:is>
          <x:t xml:space="preserve">Yes</x:t>
        </x:is>
      </x:c>
      <x:c r="AB44" s="22" t="str">
        <x:f>IF(OR(H44="",I44=""),"",H44*I44/144)</x:f>
      </x:c>
      <x:c r="AC44" s="22" t="n">
        <x:f>IF(OR(M44="",N44=""),"",M44*N44/144)</x:f>
        <x:v>7.5</x:v>
      </x:c>
      <x:c r="AD44" s="22" t="n">
        <x:f>IF(AA44="Yes",E44*K44*L44/144,0)</x:f>
        <x:v>7.5</x:v>
      </x:c>
      <x:c r="AE44" s="22" t="n">
        <x:f>IF(OR(K44="",L44=""),"",K44*L44/144)</x:f>
        <x:v>7.5</x:v>
      </x:c>
      <x:c r="AF44" s="23" t="str">
        <x:f>IF(LEFT(D44,8)="Required","REQ",IF(LEFT(D44,11)="Conditional","COND",IF(LEFT(D44,8)="Template","TEMPLATE","REF")))</x:f>
        <x:v>REQ</x:v>
      </x:c>
      <x:c r="AG44" s="23" t="str">
        <x:f>IF(OR(ISNUMBER(SEARCH("verify",V44)),ISNUMBER(SEARCH("allowance",V44))),"REVIEW","")</x:f>
        <x:v>REVIEW</x:v>
      </x:c>
    </x:row>
    <x:row r="45" ht="64" customHeight="1">
      <x:c r="A45" s="17" t="inlineStr">
        <x:is>
          <x:t xml:space="preserve">B-T-THERM02</x:t>
        </x:is>
      </x:c>
      <x:c r="B45" s="17" t="inlineStr">
        <x:is>
          <x:t xml:space="preserve">Furniture</x:t>
        </x:is>
      </x:c>
      <x:c r="C45" s="17" t="inlineStr">
        <x:is>
          <x:t xml:space="preserve">Thermal / gravimetric</x:t>
        </x:is>
      </x:c>
      <x:c r="D45" s="17" t="inlineStr">
        <x:is>
          <x:t xml:space="preserve">Required - location decision</x:t>
        </x:is>
      </x:c>
      <x:c r="E45" s="17" t="n">
        <x:v>1</x:v>
      </x:c>
      <x:c r="F45" s="17" t="inlineStr">
        <x:is>
          <x:t xml:space="preserve">36 x 30 HEAT-RATED STAND - FURNACE</x:t>
        </x:is>
      </x:c>
      <x:c r="G45" s="18" t="inlineStr">
        <x:is>
          <x:t xml:space="preserve">Purpose-built heat-rated equipment stand</x:t>
        </x:is>
      </x:c>
      <x:c r="H45" s="19" t="n"/>
      <x:c r="I45" s="19" t="n"/>
      <x:c r="J45" s="19" t="n"/>
      <x:c r="K45" s="20" t="n">
        <x:v>36</x:v>
      </x:c>
      <x:c r="L45" s="20" t="n">
        <x:v>30</x:v>
      </x:c>
      <x:c r="M45" s="20" t="n">
        <x:v>36</x:v>
      </x:c>
      <x:c r="N45" s="20" t="n">
        <x:v>30</x:v>
      </x:c>
      <x:c r="O45" s="17" t="inlineStr">
        <x:is>
          <x:t xml:space="preserve"/>
        </x:is>
      </x:c>
      <x:c r="P45" s="17" t="inlineStr">
        <x:is>
          <x:t xml:space="preserve">Supports B-EQ-MOIST02B</x:t>
        </x:is>
      </x:c>
      <x:c r="Q45" s="18" t="inlineStr">
        <x:is>
          <x:t xml:space="preserve"/>
        </x:is>
      </x:c>
      <x:c r="R45" s="18" t="inlineStr">
        <x:is>
          <x:t xml:space="preserve"/>
        </x:is>
      </x:c>
      <x:c r="S45" s="18" t="inlineStr">
        <x:is>
          <x:t xml:space="preserve"/>
        </x:is>
      </x:c>
      <x:c r="T45" s="18" t="inlineStr">
        <x:is>
          <x:t xml:space="preserve"/>
        </x:is>
      </x:c>
      <x:c r="U45" s="17" t="inlineStr">
        <x:is>
          <x:t xml:space="preserve">Drying Room preferred if approved; otherwise thermal zone separated from solvents</x:t>
        </x:is>
      </x:c>
      <x:c r="V45" s="17" t="inlineStr">
        <x:is>
          <x:t xml:space="preserve">Planning allowance - not an ordinary phenolic bench selection</x:t>
        </x:is>
      </x:c>
      <x:c r="W45" s="18" t="inlineStr">
        <x:is>
          <x:t xml:space="preserve">Scenario B site requirements</x:t>
        </x:is>
      </x:c>
      <x:c r="X45" s="18" t="inlineStr">
        <x:is>
          <x:t xml:space="preserve"/>
        </x:is>
      </x:c>
      <x:c r="Y45" s="17" t="inlineStr">
        <x:is>
          <x:t xml:space="preserve">Final heat rating, wall clearance and anchoring per OEM/MEP.</x:t>
        </x:is>
      </x:c>
      <x:c r="Z45" s="17" t="inlineStr">
        <x:is>
          <x:t xml:space="preserve">SCENARIO B - FURNITURE</x:t>
        </x:is>
      </x:c>
      <x:c r="AA45" s="17" t="inlineStr">
        <x:is>
          <x:t xml:space="preserve">Yes</x:t>
        </x:is>
      </x:c>
      <x:c r="AB45" s="22" t="str">
        <x:f>IF(OR(H45="",I45=""),"",H45*I45/144)</x:f>
      </x:c>
      <x:c r="AC45" s="22" t="n">
        <x:f>IF(OR(M45="",N45=""),"",M45*N45/144)</x:f>
        <x:v>7.5</x:v>
      </x:c>
      <x:c r="AD45" s="22" t="n">
        <x:f>IF(AA45="Yes",E45*K45*L45/144,0)</x:f>
        <x:v>7.5</x:v>
      </x:c>
      <x:c r="AE45" s="22" t="n">
        <x:f>IF(OR(K45="",L45=""),"",K45*L45/144)</x:f>
        <x:v>7.5</x:v>
      </x:c>
      <x:c r="AF45" s="23" t="str">
        <x:f>IF(LEFT(D45,8)="Required","REQ",IF(LEFT(D45,11)="Conditional","COND",IF(LEFT(D45,8)="Template","TEMPLATE","REF")))</x:f>
        <x:v>REQ</x:v>
      </x:c>
      <x:c r="AG45" s="23" t="str">
        <x:f>IF(OR(ISNUMBER(SEARCH("verify",V45)),ISNUMBER(SEARCH("allowance",V45))),"REVIEW","")</x:f>
        <x:v>REVIEW</x:v>
      </x:c>
    </x:row>
    <x:row r="46" ht="64" customHeight="1">
      <x:c r="A46" s="17" t="inlineStr">
        <x:is>
          <x:t xml:space="preserve">B-T-DES01</x:t>
        </x:is>
      </x:c>
      <x:c r="B46" s="17" t="inlineStr">
        <x:is>
          <x:t xml:space="preserve">Furniture</x:t>
        </x:is>
      </x:c>
      <x:c r="C46" s="17" t="inlineStr">
        <x:is>
          <x:t xml:space="preserve">Thermal / gravimetric</x:t>
        </x:is>
      </x:c>
      <x:c r="D46" s="17" t="inlineStr">
        <x:is>
          <x:t xml:space="preserve">Required</x:t>
        </x:is>
      </x:c>
      <x:c r="E46" s="17" t="n">
        <x:v>1</x:v>
      </x:c>
      <x:c r="F46" s="17" t="inlineStr">
        <x:is>
          <x:t xml:space="preserve">60 x 30 DESICCATOR / COOLING BENCH</x:t>
        </x:is>
      </x:c>
      <x:c r="G46" s="18" t="inlineStr">
        <x:is>
          <x:t xml:space="preserve">Uline-style phenolic lab workbench</x:t>
        </x:is>
      </x:c>
      <x:c r="H46" s="19" t="n"/>
      <x:c r="I46" s="19" t="n"/>
      <x:c r="J46" s="19" t="n"/>
      <x:c r="K46" s="20" t="n">
        <x:v>60</x:v>
      </x:c>
      <x:c r="L46" s="20" t="n">
        <x:v>30</x:v>
      </x:c>
      <x:c r="M46" s="20" t="n">
        <x:v>60</x:v>
      </x:c>
      <x:c r="N46" s="20" t="n">
        <x:v>30</x:v>
      </x:c>
      <x:c r="O46" s="17" t="inlineStr">
        <x:is>
          <x:t xml:space="preserve"/>
        </x:is>
      </x:c>
      <x:c r="P46" s="17" t="inlineStr">
        <x:is>
          <x:t xml:space="preserve">Supports DES-01 and DES-02 plus tongs/hot-item landing area</x:t>
        </x:is>
      </x:c>
      <x:c r="Q46" s="18" t="inlineStr">
        <x:is>
          <x:t xml:space="preserve"/>
        </x:is>
      </x:c>
      <x:c r="R46" s="18" t="inlineStr">
        <x:is>
          <x:t xml:space="preserve"/>
        </x:is>
      </x:c>
      <x:c r="S46" s="18" t="inlineStr">
        <x:is>
          <x:t xml:space="preserve"/>
        </x:is>
      </x:c>
      <x:c r="T46" s="18" t="inlineStr">
        <x:is>
          <x:t xml:space="preserve"/>
        </x:is>
      </x:c>
      <x:c r="U46" s="17" t="inlineStr">
        <x:is>
          <x:t xml:space="preserve">Between thermal equipment and BAL-01, but out of the heat plume</x:t>
        </x:is>
      </x:c>
      <x:c r="V46" s="17" t="inlineStr">
        <x:is>
          <x:t xml:space="preserve">Source-verified standard furniture module</x:t>
        </x:is>
      </x:c>
      <x:c r="W46" s="18" t="inlineStr">
        <x:is>
          <x:t xml:space="preserve">Uline Lab Workbenches</x:t>
        </x:is>
      </x:c>
      <x:c r="X46" s="21" t="inlineStr">
        <x:is>
          <x:t xml:space="preserve">https://www.uline.com/BL_3509/Lab-Workbenches</x:t>
        </x:is>
      </x:c>
      <x:c r="Y46" s="17" t="inlineStr">
        <x:is>
          <x:t xml:space="preserve">Do not place BAL-01 on this same table.</x:t>
        </x:is>
      </x:c>
      <x:c r="Z46" s="17" t="inlineStr">
        <x:is>
          <x:t xml:space="preserve">SCENARIO B - FURNITURE</x:t>
        </x:is>
      </x:c>
      <x:c r="AA46" s="17" t="inlineStr">
        <x:is>
          <x:t xml:space="preserve">Yes</x:t>
        </x:is>
      </x:c>
      <x:c r="AB46" s="22" t="str">
        <x:f>IF(OR(H46="",I46=""),"",H46*I46/144)</x:f>
      </x:c>
      <x:c r="AC46" s="22" t="n">
        <x:f>IF(OR(M46="",N46=""),"",M46*N46/144)</x:f>
        <x:v>12.5</x:v>
      </x:c>
      <x:c r="AD46" s="22" t="n">
        <x:f>IF(AA46="Yes",E46*K46*L46/144,0)</x:f>
        <x:v>12.5</x:v>
      </x:c>
      <x:c r="AE46" s="22" t="n">
        <x:f>IF(OR(K46="",L46=""),"",K46*L46/144)</x:f>
        <x:v>12.5</x:v>
      </x:c>
      <x:c r="AF46" s="23" t="str">
        <x:f>IF(LEFT(D46,8)="Required","REQ",IF(LEFT(D46,11)="Conditional","COND",IF(LEFT(D46,8)="Template","TEMPLATE","REF")))</x:f>
        <x:v>REQ</x:v>
      </x:c>
      <x:c r="AG46" s="23" t="str">
        <x:f>IF(OR(ISNUMBER(SEARCH("verify",V46)),ISNUMBER(SEARCH("allowance",V46))),"REVIEW","")</x:f>
      </x:c>
    </x:row>
    <x:row r="47" ht="64" customHeight="1">
      <x:c r="A47" s="17" t="inlineStr">
        <x:is>
          <x:t xml:space="preserve">B-T-BAL01</x:t>
        </x:is>
      </x:c>
      <x:c r="B47" s="17" t="inlineStr">
        <x:is>
          <x:t xml:space="preserve">Furniture</x:t>
        </x:is>
      </x:c>
      <x:c r="C47" s="17" t="inlineStr">
        <x:is>
          <x:t xml:space="preserve">Thermal / gravimetric</x:t>
        </x:is>
      </x:c>
      <x:c r="D47" s="17" t="inlineStr">
        <x:is>
          <x:t xml:space="preserve">Required</x:t>
        </x:is>
      </x:c>
      <x:c r="E47" s="17" t="n">
        <x:v>1</x:v>
      </x:c>
      <x:c r="F47" s="17" t="inlineStr">
        <x:is>
          <x:t xml:space="preserve">36 x 30 DEDICATED BALANCE TABLE - BAL01</x:t>
        </x:is>
      </x:c>
      <x:c r="G47" s="18" t="inlineStr">
        <x:is>
          <x:t xml:space="preserve">Dedicated stable/anti-vibration balance table</x:t>
        </x:is>
      </x:c>
      <x:c r="H47" s="19" t="n"/>
      <x:c r="I47" s="19" t="n"/>
      <x:c r="J47" s="19" t="n"/>
      <x:c r="K47" s="20" t="n">
        <x:v>36</x:v>
      </x:c>
      <x:c r="L47" s="20" t="n">
        <x:v>30</x:v>
      </x:c>
      <x:c r="M47" s="20" t="n">
        <x:v>36</x:v>
      </x:c>
      <x:c r="N47" s="20" t="n">
        <x:v>30</x:v>
      </x:c>
      <x:c r="O47" s="17" t="inlineStr">
        <x:is>
          <x:t xml:space="preserve"/>
        </x:is>
      </x:c>
      <x:c r="P47" s="17" t="inlineStr">
        <x:is>
          <x:t xml:space="preserve">Supports B-EQ-BAL01</x:t>
        </x:is>
      </x:c>
      <x:c r="Q47" s="18" t="inlineStr">
        <x:is>
          <x:t xml:space="preserve"/>
        </x:is>
      </x:c>
      <x:c r="R47" s="18" t="inlineStr">
        <x:is>
          <x:t xml:space="preserve"/>
        </x:is>
      </x:c>
      <x:c r="S47" s="18" t="inlineStr">
        <x:is>
          <x:t xml:space="preserve"/>
        </x:is>
      </x:c>
      <x:c r="T47" s="18" t="inlineStr">
        <x:is>
          <x:t xml:space="preserve"/>
        </x:is>
      </x:c>
      <x:c r="U47" s="17" t="inlineStr">
        <x:is>
          <x:t xml:space="preserve">Near desiccator bench but isolated from heat, vibration, traffic and drafts</x:t>
        </x:is>
      </x:c>
      <x:c r="V47" s="17" t="inlineStr">
        <x:is>
          <x:t xml:space="preserve">Planning allowance - final balance table/GWP selection required</x:t>
        </x:is>
      </x:c>
      <x:c r="W47" s="18" t="inlineStr">
        <x:is>
          <x:t xml:space="preserve">METTLER TOLEDO analytical-balance guidance</x:t>
        </x:is>
      </x:c>
      <x:c r="X47" s="21" t="inlineStr">
        <x:is>
          <x:t xml:space="preserve">https://www.mt.com/us/en/home/products/Laboratory_Weighing_Solutions/analytical-balances.html</x:t>
        </x:is>
      </x:c>
      <x:c r="Y47" s="17" t="inlineStr">
        <x:is>
          <x:t xml:space="preserve">A Uline bench may be evaluated, but this schedule reserves a dedicated stable surface.</x:t>
        </x:is>
      </x:c>
      <x:c r="Z47" s="17" t="inlineStr">
        <x:is>
          <x:t xml:space="preserve">SCENARIO B - FURNITURE</x:t>
        </x:is>
      </x:c>
      <x:c r="AA47" s="17" t="inlineStr">
        <x:is>
          <x:t xml:space="preserve">Yes</x:t>
        </x:is>
      </x:c>
      <x:c r="AB47" s="22" t="str">
        <x:f>IF(OR(H47="",I47=""),"",H47*I47/144)</x:f>
      </x:c>
      <x:c r="AC47" s="22" t="n">
        <x:f>IF(OR(M47="",N47=""),"",M47*N47/144)</x:f>
        <x:v>7.5</x:v>
      </x:c>
      <x:c r="AD47" s="22" t="n">
        <x:f>IF(AA47="Yes",E47*K47*L47/144,0)</x:f>
        <x:v>7.5</x:v>
      </x:c>
      <x:c r="AE47" s="22" t="n">
        <x:f>IF(OR(K47="",L47=""),"",K47*L47/144)</x:f>
        <x:v>7.5</x:v>
      </x:c>
      <x:c r="AF47" s="23" t="str">
        <x:f>IF(LEFT(D47,8)="Required","REQ",IF(LEFT(D47,11)="Conditional","COND",IF(LEFT(D47,8)="Template","TEMPLATE","REF")))</x:f>
        <x:v>REQ</x:v>
      </x:c>
      <x:c r="AG47" s="23" t="str">
        <x:f>IF(OR(ISNUMBER(SEARCH("verify",V47)),ISNUMBER(SEARCH("allowance",V47))),"REVIEW","")</x:f>
        <x:v>REVIEW</x:v>
      </x:c>
    </x:row>
    <x:row r="48" ht="64" customHeight="1">
      <x:c r="A48" s="17" t="inlineStr">
        <x:is>
          <x:t xml:space="preserve">B-T-CLEAN01</x:t>
        </x:is>
      </x:c>
      <x:c r="B48" s="17" t="inlineStr">
        <x:is>
          <x:t xml:space="preserve">Furniture</x:t>
        </x:is>
      </x:c>
      <x:c r="C48" s="17" t="inlineStr">
        <x:is>
          <x:t xml:space="preserve">Clean general analysis</x:t>
        </x:is>
      </x:c>
      <x:c r="D48" s="17" t="inlineStr">
        <x:is>
          <x:t xml:space="preserve">Required</x:t>
        </x:is>
      </x:c>
      <x:c r="E48" s="17" t="n">
        <x:v>1</x:v>
      </x:c>
      <x:c r="F48" s="17" t="inlineStr">
        <x:is>
          <x:t xml:space="preserve">96 x 36 CLEAN BENCH - UV-VIS + POLARIMETER</x:t>
        </x:is>
      </x:c>
      <x:c r="G48" s="18" t="inlineStr">
        <x:is>
          <x:t xml:space="preserve">Uline-style phenolic lab workbench, open frame</x:t>
        </x:is>
      </x:c>
      <x:c r="H48" s="19" t="n"/>
      <x:c r="I48" s="19" t="n"/>
      <x:c r="J48" s="19" t="n"/>
      <x:c r="K48" s="20" t="n">
        <x:v>96</x:v>
      </x:c>
      <x:c r="L48" s="20" t="n">
        <x:v>36</x:v>
      </x:c>
      <x:c r="M48" s="20" t="n">
        <x:v>96</x:v>
      </x:c>
      <x:c r="N48" s="20" t="n">
        <x:v>36</x:v>
      </x:c>
      <x:c r="O48" s="17" t="inlineStr">
        <x:is>
          <x:t xml:space="preserve"/>
        </x:is>
      </x:c>
      <x:c r="P48" s="17" t="inlineStr">
        <x:is>
          <x:t xml:space="preserve">Supports B-EQ-MIN03 and B-EQ-STARCHG2 with shared clean work surface</x:t>
        </x:is>
      </x:c>
      <x:c r="Q48" s="18" t="inlineStr">
        <x:is>
          <x:t xml:space="preserve"/>
        </x:is>
      </x:c>
      <x:c r="R48" s="18" t="inlineStr">
        <x:is>
          <x:t xml:space="preserve"/>
        </x:is>
      </x:c>
      <x:c r="S48" s="18" t="inlineStr">
        <x:is>
          <x:t xml:space="preserve"/>
        </x:is>
      </x:c>
      <x:c r="T48" s="18" t="inlineStr">
        <x:is>
          <x:t xml:space="preserve"/>
        </x:is>
      </x:c>
      <x:c r="U48" s="17" t="inlineStr">
        <x:is>
          <x:t xml:space="preserve">Central/east clean zone; ceiling power/data if near windows</x:t>
        </x:is>
      </x:c>
      <x:c r="V48" s="17" t="inlineStr">
        <x:is>
          <x:t xml:space="preserve">Source-verified standard furniture module</x:t>
        </x:is>
      </x:c>
      <x:c r="W48" s="18" t="inlineStr">
        <x:is>
          <x:t xml:space="preserve">Uline Lab Workbenches</x:t>
        </x:is>
      </x:c>
      <x:c r="X48" s="21" t="inlineStr">
        <x:is>
          <x:t xml:space="preserve">https://www.uline.com/BL_3509/Lab-Workbenches</x:t>
        </x:is>
      </x:c>
      <x:c r="Y48" s="17" t="inlineStr">
        <x:is>
          <x:t xml:space="preserve">Keep both instrument blocks individually movable and leave central work space.</x:t>
        </x:is>
      </x:c>
      <x:c r="Z48" s="17" t="inlineStr">
        <x:is>
          <x:t xml:space="preserve">SCENARIO B - FURNITURE</x:t>
        </x:is>
      </x:c>
      <x:c r="AA48" s="17" t="inlineStr">
        <x:is>
          <x:t xml:space="preserve">Yes</x:t>
        </x:is>
      </x:c>
      <x:c r="AB48" s="22" t="str">
        <x:f>IF(OR(H48="",I48=""),"",H48*I48/144)</x:f>
      </x:c>
      <x:c r="AC48" s="22" t="n">
        <x:f>IF(OR(M48="",N48=""),"",M48*N48/144)</x:f>
        <x:v>24</x:v>
      </x:c>
      <x:c r="AD48" s="22" t="n">
        <x:f>IF(AA48="Yes",E48*K48*L48/144,0)</x:f>
        <x:v>24</x:v>
      </x:c>
      <x:c r="AE48" s="22" t="n">
        <x:f>IF(OR(K48="",L48=""),"",K48*L48/144)</x:f>
        <x:v>24</x:v>
      </x:c>
      <x:c r="AF48" s="23" t="str">
        <x:f>IF(LEFT(D48,8)="Required","REQ",IF(LEFT(D48,11)="Conditional","COND",IF(LEFT(D48,8)="Template","TEMPLATE","REF")))</x:f>
        <x:v>REQ</x:v>
      </x:c>
      <x:c r="AG48" s="23" t="str">
        <x:f>IF(OR(ISNUMBER(SEARCH("verify",V48)),ISNUMBER(SEARCH("allowance",V48))),"REVIEW","")</x:f>
      </x:c>
    </x:row>
    <x:row r="49" ht="64" customHeight="1">
      <x:c r="A49" s="17" t="inlineStr">
        <x:is>
          <x:t xml:space="preserve">B-T-CLEAN02</x:t>
        </x:is>
      </x:c>
      <x:c r="B49" s="17" t="inlineStr">
        <x:is>
          <x:t xml:space="preserve">Furniture</x:t>
        </x:is>
      </x:c>
      <x:c r="C49" s="17" t="inlineStr">
        <x:is>
          <x:t xml:space="preserve">Clean general analysis</x:t>
        </x:is>
      </x:c>
      <x:c r="D49" s="17" t="inlineStr">
        <x:is>
          <x:t xml:space="preserve">Required</x:t>
        </x:is>
      </x:c>
      <x:c r="E49" s="17" t="n">
        <x:v>1</x:v>
      </x:c>
      <x:c r="F49" s="17" t="inlineStr">
        <x:is>
          <x:t xml:space="preserve">60 x 30 CLEAN BENCH - COLOR + DENSITY</x:t>
        </x:is>
      </x:c>
      <x:c r="G49" s="18" t="inlineStr">
        <x:is>
          <x:t xml:space="preserve">Uline-style phenolic lab workbench</x:t>
        </x:is>
      </x:c>
      <x:c r="H49" s="19" t="n"/>
      <x:c r="I49" s="19" t="n"/>
      <x:c r="J49" s="19" t="n"/>
      <x:c r="K49" s="20" t="n">
        <x:v>60</x:v>
      </x:c>
      <x:c r="L49" s="20" t="n">
        <x:v>30</x:v>
      </x:c>
      <x:c r="M49" s="20" t="n">
        <x:v>60</x:v>
      </x:c>
      <x:c r="N49" s="20" t="n">
        <x:v>30</x:v>
      </x:c>
      <x:c r="O49" s="17" t="inlineStr">
        <x:is>
          <x:t xml:space="preserve"/>
        </x:is>
      </x:c>
      <x:c r="P49" s="17" t="inlineStr">
        <x:is>
          <x:t xml:space="preserve">Supports B-EQ-COLOR01 and B-EQ-DENS01</x:t>
        </x:is>
      </x:c>
      <x:c r="Q49" s="18" t="inlineStr">
        <x:is>
          <x:t xml:space="preserve"/>
        </x:is>
      </x:c>
      <x:c r="R49" s="18" t="inlineStr">
        <x:is>
          <x:t xml:space="preserve"/>
        </x:is>
      </x:c>
      <x:c r="S49" s="18" t="inlineStr">
        <x:is>
          <x:t xml:space="preserve"/>
        </x:is>
      </x:c>
      <x:c r="T49" s="18" t="inlineStr">
        <x:is>
          <x:t xml:space="preserve"/>
        </x:is>
      </x:c>
      <x:c r="U49" s="17" t="inlineStr">
        <x:is>
          <x:t xml:space="preserve">Clean low-dust zone with cup/cylinder storage</x:t>
        </x:is>
      </x:c>
      <x:c r="V49" s="17" t="inlineStr">
        <x:is>
          <x:t xml:space="preserve">Source-verified standard furniture module</x:t>
        </x:is>
      </x:c>
      <x:c r="W49" s="18" t="inlineStr">
        <x:is>
          <x:t xml:space="preserve">Uline Lab Workbenches</x:t>
        </x:is>
      </x:c>
      <x:c r="X49" s="21" t="inlineStr">
        <x:is>
          <x:t xml:space="preserve">https://www.uline.com/BL_3509/Lab-Workbenches</x:t>
        </x:is>
      </x:c>
      <x:c r="Y49" s="17" t="inlineStr">
        <x:is>
          <x:t xml:space="preserve">Open or cabinet version may be selected after storage review.</x:t>
        </x:is>
      </x:c>
      <x:c r="Z49" s="17" t="inlineStr">
        <x:is>
          <x:t xml:space="preserve">SCENARIO B - FURNITURE</x:t>
        </x:is>
      </x:c>
      <x:c r="AA49" s="17" t="inlineStr">
        <x:is>
          <x:t xml:space="preserve">Yes</x:t>
        </x:is>
      </x:c>
      <x:c r="AB49" s="22" t="str">
        <x:f>IF(OR(H49="",I49=""),"",H49*I49/144)</x:f>
      </x:c>
      <x:c r="AC49" s="22" t="n">
        <x:f>IF(OR(M49="",N49=""),"",M49*N49/144)</x:f>
        <x:v>12.5</x:v>
      </x:c>
      <x:c r="AD49" s="22" t="n">
        <x:f>IF(AA49="Yes",E49*K49*L49/144,0)</x:f>
        <x:v>12.5</x:v>
      </x:c>
      <x:c r="AE49" s="22" t="n">
        <x:f>IF(OR(K49="",L49=""),"",K49*L49/144)</x:f>
        <x:v>12.5</x:v>
      </x:c>
      <x:c r="AF49" s="23" t="str">
        <x:f>IF(LEFT(D49,8)="Required","REQ",IF(LEFT(D49,11)="Conditional","COND",IF(LEFT(D49,8)="Template","TEMPLATE","REF")))</x:f>
        <x:v>REQ</x:v>
      </x:c>
      <x:c r="AG49" s="23" t="str">
        <x:f>IF(OR(ISNUMBER(SEARCH("verify",V49)),ISNUMBER(SEARCH("allowance",V49))),"REVIEW","")</x:f>
      </x:c>
    </x:row>
    <x:row r="50" ht="64" customHeight="1">
      <x:c r="A50" s="17" t="inlineStr">
        <x:is>
          <x:t xml:space="preserve">B-T-BAL02</x:t>
        </x:is>
      </x:c>
      <x:c r="B50" s="17" t="inlineStr">
        <x:is>
          <x:t xml:space="preserve">Furniture</x:t>
        </x:is>
      </x:c>
      <x:c r="C50" s="17" t="inlineStr">
        <x:is>
          <x:t xml:space="preserve">Clean general analysis</x:t>
        </x:is>
      </x:c>
      <x:c r="D50" s="17" t="inlineStr">
        <x:is>
          <x:t xml:space="preserve">Required</x:t>
        </x:is>
      </x:c>
      <x:c r="E50" s="17" t="n">
        <x:v>1</x:v>
      </x:c>
      <x:c r="F50" s="17" t="inlineStr">
        <x:is>
          <x:t xml:space="preserve">36 x 30 DEDICATED BALANCE TABLE - BAL02</x:t>
        </x:is>
      </x:c>
      <x:c r="G50" s="18" t="inlineStr">
        <x:is>
          <x:t xml:space="preserve">Dedicated stable/anti-vibration balance table</x:t>
        </x:is>
      </x:c>
      <x:c r="H50" s="19" t="n"/>
      <x:c r="I50" s="19" t="n"/>
      <x:c r="J50" s="19" t="n"/>
      <x:c r="K50" s="20" t="n">
        <x:v>36</x:v>
      </x:c>
      <x:c r="L50" s="20" t="n">
        <x:v>30</x:v>
      </x:c>
      <x:c r="M50" s="20" t="n">
        <x:v>36</x:v>
      </x:c>
      <x:c r="N50" s="20" t="n">
        <x:v>30</x:v>
      </x:c>
      <x:c r="O50" s="17" t="inlineStr">
        <x:is>
          <x:t xml:space="preserve"/>
        </x:is>
      </x:c>
      <x:c r="P50" s="17" t="inlineStr">
        <x:is>
          <x:t xml:space="preserve">Supports B-EQ-BAL02</x:t>
        </x:is>
      </x:c>
      <x:c r="Q50" s="18" t="inlineStr">
        <x:is>
          <x:t xml:space="preserve"/>
        </x:is>
      </x:c>
      <x:c r="R50" s="18" t="inlineStr">
        <x:is>
          <x:t xml:space="preserve"/>
        </x:is>
      </x:c>
      <x:c r="S50" s="18" t="inlineStr">
        <x:is>
          <x:t xml:space="preserve"/>
        </x:is>
      </x:c>
      <x:c r="T50" s="18" t="inlineStr">
        <x:is>
          <x:t xml:space="preserve"/>
        </x:is>
      </x:c>
      <x:c r="U50" s="17" t="inlineStr">
        <x:is>
          <x:t xml:space="preserve">Accessible to Soxhlet and analytical prep but outside hood/solvent/sink zone</x:t>
        </x:is>
      </x:c>
      <x:c r="V50" s="17" t="inlineStr">
        <x:is>
          <x:t xml:space="preserve">Planning allowance - final balance table/GWP selection required</x:t>
        </x:is>
      </x:c>
      <x:c r="W50" s="18" t="inlineStr">
        <x:is>
          <x:t xml:space="preserve">METTLER TOLEDO analytical-balance guidance</x:t>
        </x:is>
      </x:c>
      <x:c r="X50" s="21" t="inlineStr">
        <x:is>
          <x:t xml:space="preserve">https://www.mt.com/us/en/home/products/Laboratory_Weighing_Solutions/analytical-balances.html</x:t>
        </x:is>
      </x:c>
      <x:c r="Y50" s="17" t="inlineStr">
        <x:is>
          <x:t xml:space="preserve">Keep away from AS200, mills and direct HVAC or window temperature effects.</x:t>
        </x:is>
      </x:c>
      <x:c r="Z50" s="17" t="inlineStr">
        <x:is>
          <x:t xml:space="preserve">SCENARIO B - FURNITURE</x:t>
        </x:is>
      </x:c>
      <x:c r="AA50" s="17" t="inlineStr">
        <x:is>
          <x:t xml:space="preserve">Yes</x:t>
        </x:is>
      </x:c>
      <x:c r="AB50" s="22" t="str">
        <x:f>IF(OR(H50="",I50=""),"",H50*I50/144)</x:f>
      </x:c>
      <x:c r="AC50" s="22" t="n">
        <x:f>IF(OR(M50="",N50=""),"",M50*N50/144)</x:f>
        <x:v>7.5</x:v>
      </x:c>
      <x:c r="AD50" s="22" t="n">
        <x:f>IF(AA50="Yes",E50*K50*L50/144,0)</x:f>
        <x:v>7.5</x:v>
      </x:c>
      <x:c r="AE50" s="22" t="n">
        <x:f>IF(OR(K50="",L50=""),"",K50*L50/144)</x:f>
        <x:v>7.5</x:v>
      </x:c>
      <x:c r="AF50" s="23" t="str">
        <x:f>IF(LEFT(D50,8)="Required","REQ",IF(LEFT(D50,11)="Conditional","COND",IF(LEFT(D50,8)="Template","TEMPLATE","REF")))</x:f>
        <x:v>REQ</x:v>
      </x:c>
      <x:c r="AG50" s="23" t="str">
        <x:f>IF(OR(ISNUMBER(SEARCH("verify",V50)),ISNUMBER(SEARCH("allowance",V50))),"REVIEW","")</x:f>
        <x:v>REVIEW</x:v>
      </x:c>
    </x:row>
    <x:row r="51" ht="64" customHeight="1">
      <x:c r="A51" s="17" t="inlineStr">
        <x:is>
          <x:t xml:space="preserve">B-T-LECO01</x:t>
        </x:is>
      </x:c>
      <x:c r="B51" s="17" t="inlineStr">
        <x:is>
          <x:t xml:space="preserve">Furniture</x:t>
        </x:is>
      </x:c>
      <x:c r="C51" s="17" t="inlineStr">
        <x:is>
          <x:t xml:space="preserve">Clean instrument</x:t>
        </x:is>
      </x:c>
      <x:c r="D51" s="17" t="inlineStr">
        <x:is>
          <x:t xml:space="preserve">Required</x:t>
        </x:is>
      </x:c>
      <x:c r="E51" s="17" t="n">
        <x:v>1</x:v>
      </x:c>
      <x:c r="F51" s="17" t="inlineStr">
        <x:is>
          <x:t xml:space="preserve">96 x 36 DEDICATED LECO BENCH</x:t>
        </x:is>
      </x:c>
      <x:c r="G51" s="18" t="inlineStr">
        <x:is>
          <x:t xml:space="preserve">Uline-style 96 x 36 phenolic lab workbench, open frame</x:t>
        </x:is>
      </x:c>
      <x:c r="H51" s="19" t="n"/>
      <x:c r="I51" s="19" t="n"/>
      <x:c r="J51" s="19" t="n"/>
      <x:c r="K51" s="20" t="n">
        <x:v>96</x:v>
      </x:c>
      <x:c r="L51" s="20" t="n">
        <x:v>36</x:v>
      </x:c>
      <x:c r="M51" s="20" t="n">
        <x:v>96</x:v>
      </x:c>
      <x:c r="N51" s="20" t="n">
        <x:v>36</x:v>
      </x:c>
      <x:c r="O51" s="17" t="inlineStr">
        <x:is>
          <x:t xml:space="preserve"/>
        </x:is>
      </x:c>
      <x:c r="P51" s="17" t="inlineStr">
        <x:is>
          <x:t xml:space="preserve">Supports LECO configuration and on-bench monitor/PC section</x:t>
        </x:is>
      </x:c>
      <x:c r="Q51" s="18" t="inlineStr">
        <x:is>
          <x:t xml:space="preserve"/>
        </x:is>
      </x:c>
      <x:c r="R51" s="18" t="inlineStr">
        <x:is>
          <x:t xml:space="preserve"/>
        </x:is>
      </x:c>
      <x:c r="S51" s="18" t="inlineStr">
        <x:is>
          <x:t xml:space="preserve"/>
        </x:is>
      </x:c>
      <x:c r="T51" s="18" t="inlineStr">
        <x:is>
          <x:t xml:space="preserve"/>
        </x:is>
      </x:c>
      <x:c r="U51" s="17" t="inlineStr">
        <x:is>
          <x:t xml:space="preserve">Clean instrument zone with gas/exhaust/power route and service access</x:t>
        </x:is>
      </x:c>
      <x:c r="V51" s="17" t="inlineStr">
        <x:is>
          <x:t xml:space="preserve">Source-verified bench module; LECO must approve suitability</x:t>
        </x:is>
      </x:c>
      <x:c r="W51" s="18" t="inlineStr">
        <x:is>
          <x:t xml:space="preserve">Uline Lab Workbenches</x:t>
        </x:is>
      </x:c>
      <x:c r="X51" s="21" t="inlineStr">
        <x:is>
          <x:t xml:space="preserve">https://www.uline.com/BL_3509/Lab-Workbenches</x:t>
        </x:is>
      </x:c>
      <x:c r="Y51" s="17" t="inlineStr">
        <x:is>
          <x:t xml:space="preserve">Do not use bottom cabinets until LECO utility/service access is confirmed.</x:t>
        </x:is>
      </x:c>
      <x:c r="Z51" s="17" t="inlineStr">
        <x:is>
          <x:t xml:space="preserve">SCENARIO B - FURNITURE</x:t>
        </x:is>
      </x:c>
      <x:c r="AA51" s="17" t="inlineStr">
        <x:is>
          <x:t xml:space="preserve">Yes</x:t>
        </x:is>
      </x:c>
      <x:c r="AB51" s="22" t="str">
        <x:f>IF(OR(H51="",I51=""),"",H51*I51/144)</x:f>
      </x:c>
      <x:c r="AC51" s="22" t="n">
        <x:f>IF(OR(M51="",N51=""),"",M51*N51/144)</x:f>
        <x:v>24</x:v>
      </x:c>
      <x:c r="AD51" s="22" t="n">
        <x:f>IF(AA51="Yes",E51*K51*L51/144,0)</x:f>
        <x:v>24</x:v>
      </x:c>
      <x:c r="AE51" s="22" t="n">
        <x:f>IF(OR(K51="",L51=""),"",K51*L51/144)</x:f>
        <x:v>24</x:v>
      </x:c>
      <x:c r="AF51" s="23" t="str">
        <x:f>IF(LEFT(D51,8)="Required","REQ",IF(LEFT(D51,11)="Conditional","COND",IF(LEFT(D51,8)="Template","TEMPLATE","REF")))</x:f>
        <x:v>REQ</x:v>
      </x:c>
      <x:c r="AG51" s="23" t="str">
        <x:f>IF(OR(ISNUMBER(SEARCH("verify",V51)),ISNUMBER(SEARCH("allowance",V51))),"REVIEW","")</x:f>
      </x:c>
    </x:row>
    <x:row r="52" ht="64" customHeight="1">
      <x:c r="A52" s="17" t="inlineStr">
        <x:is>
          <x:t xml:space="preserve">B-T-SYKAM01</x:t>
        </x:is>
      </x:c>
      <x:c r="B52" s="17" t="inlineStr">
        <x:is>
          <x:t xml:space="preserve">Furniture</x:t>
        </x:is>
      </x:c>
      <x:c r="C52" s="17" t="inlineStr">
        <x:is>
          <x:t xml:space="preserve">Clean instrument</x:t>
        </x:is>
      </x:c>
      <x:c r="D52" s="17" t="inlineStr">
        <x:is>
          <x:t xml:space="preserve">Required</x:t>
        </x:is>
      </x:c>
      <x:c r="E52" s="17" t="n">
        <x:v>1</x:v>
      </x:c>
      <x:c r="F52" s="17" t="inlineStr">
        <x:is>
          <x:t xml:space="preserve">96 x 36 DEDICATED SYKAM BENCH</x:t>
        </x:is>
      </x:c>
      <x:c r="G52" s="18" t="inlineStr">
        <x:is>
          <x:t xml:space="preserve">Uline-style 96 x 36 phenolic lab workbench, open frame</x:t>
        </x:is>
      </x:c>
      <x:c r="H52" s="19" t="n"/>
      <x:c r="I52" s="19" t="n"/>
      <x:c r="J52" s="19" t="n"/>
      <x:c r="K52" s="20" t="n">
        <x:v>96</x:v>
      </x:c>
      <x:c r="L52" s="20" t="n">
        <x:v>36</x:v>
      </x:c>
      <x:c r="M52" s="20" t="n">
        <x:v>96</x:v>
      </x:c>
      <x:c r="N52" s="20" t="n">
        <x:v>36</x:v>
      </x:c>
      <x:c r="O52" s="17" t="inlineStr">
        <x:is>
          <x:t xml:space="preserve"/>
        </x:is>
      </x:c>
      <x:c r="P52" s="17" t="inlineStr">
        <x:is>
          <x:t xml:space="preserve">Supports modular Sykam S 433 configuration and monitor/PC section</x:t>
        </x:is>
      </x:c>
      <x:c r="Q52" s="18" t="inlineStr">
        <x:is>
          <x:t xml:space="preserve"/>
        </x:is>
      </x:c>
      <x:c r="R52" s="18" t="inlineStr">
        <x:is>
          <x:t xml:space="preserve"/>
        </x:is>
      </x:c>
      <x:c r="S52" s="18" t="inlineStr">
        <x:is>
          <x:t xml:space="preserve"/>
        </x:is>
      </x:c>
      <x:c r="T52" s="18" t="inlineStr">
        <x:is>
          <x:t xml:space="preserve"/>
        </x:is>
      </x:c>
      <x:c r="U52" s="17" t="inlineStr">
        <x:is>
          <x:t xml:space="preserve">Clean instrument zone; separate from grinding and acid prep</x:t>
        </x:is>
      </x:c>
      <x:c r="V52" s="17" t="inlineStr">
        <x:is>
          <x:t xml:space="preserve">Source-verified bench module; Sykam must approve suitability</x:t>
        </x:is>
      </x:c>
      <x:c r="W52" s="18" t="inlineStr">
        <x:is>
          <x:t xml:space="preserve">Uline Lab Workbenches</x:t>
        </x:is>
      </x:c>
      <x:c r="X52" s="21" t="inlineStr">
        <x:is>
          <x:t xml:space="preserve">https://www.uline.com/BL_3509/Lab-Workbenches</x:t>
        </x:is>
      </x:c>
      <x:c r="Y52" s="17" t="inlineStr">
        <x:is>
          <x:t xml:space="preserve">Final module arrangement, reagent racks and waste bottles may require a longer or second bench.</x:t>
        </x:is>
      </x:c>
      <x:c r="Z52" s="17" t="inlineStr">
        <x:is>
          <x:t xml:space="preserve">SCENARIO B - FURNITURE</x:t>
        </x:is>
      </x:c>
      <x:c r="AA52" s="17" t="inlineStr">
        <x:is>
          <x:t xml:space="preserve">Yes</x:t>
        </x:is>
      </x:c>
      <x:c r="AB52" s="22" t="str">
        <x:f>IF(OR(H52="",I52=""),"",H52*I52/144)</x:f>
      </x:c>
      <x:c r="AC52" s="22" t="n">
        <x:f>IF(OR(M52="",N52=""),"",M52*N52/144)</x:f>
        <x:v>24</x:v>
      </x:c>
      <x:c r="AD52" s="22" t="n">
        <x:f>IF(AA52="Yes",E52*K52*L52/144,0)</x:f>
        <x:v>24</x:v>
      </x:c>
      <x:c r="AE52" s="22" t="n">
        <x:f>IF(OR(K52="",L52=""),"",K52*L52/144)</x:f>
        <x:v>24</x:v>
      </x:c>
      <x:c r="AF52" s="23" t="str">
        <x:f>IF(LEFT(D52,8)="Required","REQ",IF(LEFT(D52,11)="Conditional","COND",IF(LEFT(D52,8)="Template","TEMPLATE","REF")))</x:f>
        <x:v>REQ</x:v>
      </x:c>
      <x:c r="AG52" s="23" t="str">
        <x:f>IF(OR(ISNUMBER(SEARCH("verify",V52)),ISNUMBER(SEARCH("allowance",V52))),"REVIEW","")</x:f>
      </x:c>
    </x:row>
    <x:row r="53" ht="64" customHeight="1">
      <x:c r="A53" s="17" t="inlineStr">
        <x:is>
          <x:t xml:space="preserve">B-STOR-REAG01</x:t>
        </x:is>
      </x:c>
      <x:c r="B53" s="17" t="inlineStr">
        <x:is>
          <x:t xml:space="preserve">Storage</x:t>
        </x:is>
      </x:c>
      <x:c r="C53" s="17" t="inlineStr">
        <x:is>
          <x:t xml:space="preserve">Clean / wet support</x:t>
        </x:is>
      </x:c>
      <x:c r="D53" s="17" t="inlineStr">
        <x:is>
          <x:t xml:space="preserve">Required</x:t>
        </x:is>
      </x:c>
      <x:c r="E53" s="17" t="n">
        <x:v>1</x:v>
      </x:c>
      <x:c r="F53" s="17" t="inlineStr">
        <x:is>
          <x:t xml:space="preserve">36 x 24 GENERAL REAGENT / STANDARDS CABINET</x:t>
        </x:is>
      </x:c>
      <x:c r="G53" s="18" t="inlineStr">
        <x:is>
          <x:t xml:space="preserve">Laboratory cabinet - type to select</x:t>
        </x:is>
      </x:c>
      <x:c r="H53" s="19" t="n"/>
      <x:c r="I53" s="19" t="n"/>
      <x:c r="J53" s="19" t="n"/>
      <x:c r="K53" s="20" t="n">
        <x:v>36</x:v>
      </x:c>
      <x:c r="L53" s="20" t="n">
        <x:v>24</x:v>
      </x:c>
      <x:c r="M53" s="20" t="n">
        <x:v>36</x:v>
      </x:c>
      <x:c r="N53" s="20" t="n">
        <x:v>24</x:v>
      </x:c>
      <x:c r="O53" s="17" t="inlineStr">
        <x:is>
          <x:t xml:space="preserve"/>
        </x:is>
      </x:c>
      <x:c r="P53" s="17" t="inlineStr">
        <x:is>
          <x:t xml:space="preserve">Nonflammable compatible reagents, standards and clean accessories</x:t>
        </x:is>
      </x:c>
      <x:c r="Q53" s="18" t="inlineStr">
        <x:is>
          <x:t xml:space="preserve"/>
        </x:is>
      </x:c>
      <x:c r="R53" s="18" t="inlineStr">
        <x:is>
          <x:t xml:space="preserve"/>
        </x:is>
      </x:c>
      <x:c r="S53" s="18" t="inlineStr">
        <x:is>
          <x:t xml:space="preserve"/>
        </x:is>
      </x:c>
      <x:c r="T53" s="18" t="inlineStr">
        <x:is>
          <x:t xml:space="preserve"/>
        </x:is>
      </x:c>
      <x:c r="U53" s="17" t="inlineStr">
        <x:is>
          <x:t xml:space="preserve">Between wet and clean zones without blocking utilities</x:t>
        </x:is>
      </x:c>
      <x:c r="V53" s="17" t="inlineStr">
        <x:is>
          <x:t xml:space="preserve">Planning allowance</x:t>
        </x:is>
      </x:c>
      <x:c r="W53" s="18" t="inlineStr">
        <x:is>
          <x:t xml:space="preserve">Scenario B site requirements</x:t>
        </x:is>
      </x:c>
      <x:c r="X53" s="18" t="inlineStr">
        <x:is>
          <x:t xml:space="preserve"/>
        </x:is>
      </x:c>
      <x:c r="Y53" s="17" t="inlineStr">
        <x:is>
          <x:t xml:space="preserve">Do not use for incompatible chemical classes.</x:t>
        </x:is>
      </x:c>
      <x:c r="Z53" s="17" t="inlineStr">
        <x:is>
          <x:t xml:space="preserve">SCENARIO B - FURNITURE</x:t>
        </x:is>
      </x:c>
      <x:c r="AA53" s="17" t="inlineStr">
        <x:is>
          <x:t xml:space="preserve">Yes</x:t>
        </x:is>
      </x:c>
      <x:c r="AB53" s="22" t="str">
        <x:f>IF(OR(H53="",I53=""),"",H53*I53/144)</x:f>
      </x:c>
      <x:c r="AC53" s="22" t="n">
        <x:f>IF(OR(M53="",N53=""),"",M53*N53/144)</x:f>
        <x:v>6</x:v>
      </x:c>
      <x:c r="AD53" s="22" t="n">
        <x:f>IF(AA53="Yes",E53*K53*L53/144,0)</x:f>
        <x:v>6</x:v>
      </x:c>
      <x:c r="AE53" s="22" t="n">
        <x:f>IF(OR(K53="",L53=""),"",K53*L53/144)</x:f>
        <x:v>6</x:v>
      </x:c>
      <x:c r="AF53" s="23" t="str">
        <x:f>IF(LEFT(D53,8)="Required","REQ",IF(LEFT(D53,11)="Conditional","COND",IF(LEFT(D53,8)="Template","TEMPLATE","REF")))</x:f>
        <x:v>REQ</x:v>
      </x:c>
      <x:c r="AG53" s="23" t="str">
        <x:f>IF(OR(ISNUMBER(SEARCH("verify",V53)),ISNUMBER(SEARCH("allowance",V53))),"REVIEW","")</x:f>
        <x:v>REVIEW</x:v>
      </x:c>
    </x:row>
    <x:row r="54" ht="64" customHeight="1">
      <x:c r="A54" s="17" t="inlineStr">
        <x:is>
          <x:t xml:space="preserve">B-STOR-CONS01</x:t>
        </x:is>
      </x:c>
      <x:c r="B54" s="17" t="inlineStr">
        <x:is>
          <x:t xml:space="preserve">Storage</x:t>
        </x:is>
      </x:c>
      <x:c r="C54" s="17" t="inlineStr">
        <x:is>
          <x:t xml:space="preserve">General support</x:t>
        </x:is>
      </x:c>
      <x:c r="D54" s="17" t="inlineStr">
        <x:is>
          <x:t xml:space="preserve">Required</x:t>
        </x:is>
      </x:c>
      <x:c r="E54" s="17" t="n">
        <x:v>1</x:v>
      </x:c>
      <x:c r="F54" s="17" t="inlineStr">
        <x:is>
          <x:t xml:space="preserve">48 x 24 CONSUMABLES CABINET / SHELVING</x:t>
        </x:is>
      </x:c>
      <x:c r="G54" s="18" t="inlineStr">
        <x:is>
          <x:t xml:space="preserve">Cabinet or shelving - type to select</x:t>
        </x:is>
      </x:c>
      <x:c r="H54" s="19" t="n"/>
      <x:c r="I54" s="19" t="n"/>
      <x:c r="J54" s="19" t="n"/>
      <x:c r="K54" s="20" t="n">
        <x:v>48</x:v>
      </x:c>
      <x:c r="L54" s="20" t="n">
        <x:v>24</x:v>
      </x:c>
      <x:c r="M54" s="20" t="n">
        <x:v>48</x:v>
      </x:c>
      <x:c r="N54" s="20" t="n">
        <x:v>24</x:v>
      </x:c>
      <x:c r="O54" s="17" t="inlineStr">
        <x:is>
          <x:t xml:space="preserve"/>
        </x:is>
      </x:c>
      <x:c r="P54" s="17" t="inlineStr">
        <x:is>
          <x:t xml:space="preserve">Sample cups, filters, crucibles, foil, tubes, glassware and routine supplies</x:t>
        </x:is>
      </x:c>
      <x:c r="Q54" s="18" t="inlineStr">
        <x:is>
          <x:t xml:space="preserve"/>
        </x:is>
      </x:c>
      <x:c r="R54" s="18" t="inlineStr">
        <x:is>
          <x:t xml:space="preserve"/>
        </x:is>
      </x:c>
      <x:c r="S54" s="18" t="inlineStr">
        <x:is>
          <x:t xml:space="preserve"/>
        </x:is>
      </x:c>
      <x:c r="T54" s="18" t="inlineStr">
        <x:is>
          <x:t xml:space="preserve"/>
        </x:is>
      </x:c>
      <x:c r="U54" s="17" t="inlineStr">
        <x:is>
          <x:t xml:space="preserve">Accessible to prep and analytical lanes; avoid window obstruction if tall</x:t>
        </x:is>
      </x:c>
      <x:c r="V54" s="17" t="inlineStr">
        <x:is>
          <x:t xml:space="preserve">Planning allowance</x:t>
        </x:is>
      </x:c>
      <x:c r="W54" s="18" t="inlineStr">
        <x:is>
          <x:t xml:space="preserve">AIT user direction and Scenario B operations</x:t>
        </x:is>
      </x:c>
      <x:c r="X54" s="18" t="inlineStr">
        <x:is>
          <x:t xml:space="preserve"/>
        </x:is>
      </x:c>
      <x:c r="Y54" s="17" t="inlineStr">
        <x:is>
          <x:t xml:space="preserve">Use low storage near window walls; tall storage should use solid-wall areas.</x:t>
        </x:is>
      </x:c>
      <x:c r="Z54" s="17" t="inlineStr">
        <x:is>
          <x:t xml:space="preserve">SCENARIO B - FURNITURE</x:t>
        </x:is>
      </x:c>
      <x:c r="AA54" s="17" t="inlineStr">
        <x:is>
          <x:t xml:space="preserve">Yes</x:t>
        </x:is>
      </x:c>
      <x:c r="AB54" s="22" t="str">
        <x:f>IF(OR(H54="",I54=""),"",H54*I54/144)</x:f>
      </x:c>
      <x:c r="AC54" s="22" t="n">
        <x:f>IF(OR(M54="",N54=""),"",M54*N54/144)</x:f>
        <x:v>8</x:v>
      </x:c>
      <x:c r="AD54" s="22" t="n">
        <x:f>IF(AA54="Yes",E54*K54*L54/144,0)</x:f>
        <x:v>8</x:v>
      </x:c>
      <x:c r="AE54" s="22" t="n">
        <x:f>IF(OR(K54="",L54=""),"",K54*L54/144)</x:f>
        <x:v>8</x:v>
      </x:c>
      <x:c r="AF54" s="23" t="str">
        <x:f>IF(LEFT(D54,8)="Required","REQ",IF(LEFT(D54,11)="Conditional","COND",IF(LEFT(D54,8)="Template","TEMPLATE","REF")))</x:f>
        <x:v>REQ</x:v>
      </x:c>
      <x:c r="AG54" s="23" t="str">
        <x:f>IF(OR(ISNUMBER(SEARCH("verify",V54)),ISNUMBER(SEARCH("allowance",V54))),"REVIEW","")</x:f>
        <x:v>REVIEW</x:v>
      </x:c>
    </x:row>
    <x:row r="55" ht="64" customHeight="1">
      <x:c r="A55" s="17" t="inlineStr">
        <x:is>
          <x:t xml:space="preserve">B-COMP-DK01</x:t>
        </x:is>
      </x:c>
      <x:c r="B55" s="17" t="inlineStr">
        <x:is>
          <x:t xml:space="preserve">Computer overlay</x:t>
        </x:is>
      </x:c>
      <x:c r="C55" s="17" t="inlineStr">
        <x:is>
          <x:t xml:space="preserve">Dirty / noisy prep</x:t>
        </x:is>
      </x:c>
      <x:c r="D55" s="17" t="inlineStr">
        <x:is>
          <x:t xml:space="preserve">Required</x:t>
        </x:is>
      </x:c>
      <x:c r="E55" s="17" t="n">
        <x:v>1</x:v>
      </x:c>
      <x:c r="F55" s="17" t="inlineStr">
        <x:is>
          <x:t xml:space="preserve">LAPTOP DOCK + MONITOR STATION 1</x:t>
        </x:is>
      </x:c>
      <x:c r="G55" s="18" t="inlineStr">
        <x:is>
          <x:t xml:space="preserve">AIT laptop dock and monitor arm</x:t>
        </x:is>
      </x:c>
      <x:c r="H55" s="19" t="n"/>
      <x:c r="I55" s="19" t="n"/>
      <x:c r="J55" s="19" t="n"/>
      <x:c r="K55" s="20" t="n">
        <x:v>30</x:v>
      </x:c>
      <x:c r="L55" s="20" t="n">
        <x:v>24</x:v>
      </x:c>
      <x:c r="M55" s="20" t="n">
        <x:v>30</x:v>
      </x:c>
      <x:c r="N55" s="20" t="n">
        <x:v>24</x:v>
      </x:c>
      <x:c r="O55" s="17" t="inlineStr">
        <x:is>
          <x:t xml:space="preserve">B-T-PREP02</x:t>
        </x:is>
      </x:c>
      <x:c r="P55" s="17" t="inlineStr">
        <x:is>
          <x:t xml:space="preserve">Prep-zone laptop dock/monitor and LIMS access</x:t>
        </x:is>
      </x:c>
      <x:c r="Q55" s="18" t="inlineStr">
        <x:is>
          <x:t xml:space="preserve">120 V power and data/network</x:t>
        </x:is>
      </x:c>
      <x:c r="R55" s="18" t="inlineStr">
        <x:is>
          <x:t xml:space="preserve"/>
        </x:is>
      </x:c>
      <x:c r="S55" s="18" t="inlineStr">
        <x:is>
          <x:t xml:space="preserve"/>
        </x:is>
      </x:c>
      <x:c r="T55" s="18" t="inlineStr">
        <x:is>
          <x:t xml:space="preserve"/>
        </x:is>
      </x:c>
      <x:c r="U55" s="17" t="inlineStr">
        <x:is>
          <x:t xml:space="preserve">Reserve a 30 x 24 bench section; ceiling or bench service as appropriate</x:t>
        </x:is>
      </x:c>
      <x:c r="V55" s="17" t="inlineStr">
        <x:is>
          <x:t xml:space="preserve">AIT planning module</x:t>
        </x:is>
      </x:c>
      <x:c r="W55" s="18" t="inlineStr">
        <x:is>
          <x:t xml:space="preserve">AIT user direction</x:t>
        </x:is>
      </x:c>
      <x:c r="X55" s="18" t="inlineStr">
        <x:is>
          <x:t xml:space="preserve"/>
        </x:is>
      </x:c>
      <x:c r="Y55" s="17" t="inlineStr">
        <x:is>
          <x:t xml:space="preserve">This is an overlay/bench section, not an additional freestanding table.</x:t>
        </x:is>
      </x:c>
      <x:c r="Z55" s="17" t="inlineStr">
        <x:is>
          <x:t xml:space="preserve">SCENARIO B - EQUIPMENT</x:t>
        </x:is>
      </x:c>
      <x:c r="AA55" s="17" t="inlineStr">
        <x:is>
          <x:t xml:space="preserve">No</x:t>
        </x:is>
      </x:c>
      <x:c r="AB55" s="22" t="str">
        <x:f>IF(OR(H55="",I55=""),"",H55*I55/144)</x:f>
      </x:c>
      <x:c r="AC55" s="22" t="n">
        <x:f>IF(OR(M55="",N55=""),"",M55*N55/144)</x:f>
        <x:v>5</x:v>
      </x:c>
      <x:c r="AD55" s="22" t="n">
        <x:f>IF(AA55="Yes",E55*K55*L55/144,0)</x:f>
        <x:v>0</x:v>
      </x:c>
      <x:c r="AE55" s="22" t="n">
        <x:f>IF(OR(K55="",L55=""),"",K55*L55/144)</x:f>
        <x:v>5</x:v>
      </x:c>
      <x:c r="AF55" s="23" t="str">
        <x:f>IF(LEFT(D55,8)="Required","REQ",IF(LEFT(D55,11)="Conditional","COND",IF(LEFT(D55,8)="Template","TEMPLATE","REF")))</x:f>
        <x:v>REQ</x:v>
      </x:c>
      <x:c r="AG55" s="23" t="str">
        <x:f>IF(OR(ISNUMBER(SEARCH("verify",V55)),ISNUMBER(SEARCH("allowance",V55))),"REVIEW","")</x:f>
      </x:c>
    </x:row>
    <x:row r="56" ht="64" customHeight="1">
      <x:c r="A56" s="17" t="inlineStr">
        <x:is>
          <x:t xml:space="preserve">B-COMP-DK02</x:t>
        </x:is>
      </x:c>
      <x:c r="B56" s="17" t="inlineStr">
        <x:is>
          <x:t xml:space="preserve">Computer overlay</x:t>
        </x:is>
      </x:c>
      <x:c r="C56" s="17" t="inlineStr">
        <x:is>
          <x:t xml:space="preserve">Wet / thermal</x:t>
        </x:is>
      </x:c>
      <x:c r="D56" s="17" t="inlineStr">
        <x:is>
          <x:t xml:space="preserve">Required</x:t>
        </x:is>
      </x:c>
      <x:c r="E56" s="17" t="n">
        <x:v>1</x:v>
      </x:c>
      <x:c r="F56" s="17" t="inlineStr">
        <x:is>
          <x:t xml:space="preserve">LAPTOP DOCK + MONITOR STATION 2</x:t>
        </x:is>
      </x:c>
      <x:c r="G56" s="18" t="inlineStr">
        <x:is>
          <x:t xml:space="preserve">AIT laptop dock and monitor arm</x:t>
        </x:is>
      </x:c>
      <x:c r="H56" s="19" t="n"/>
      <x:c r="I56" s="19" t="n"/>
      <x:c r="J56" s="19" t="n"/>
      <x:c r="K56" s="20" t="n">
        <x:v>30</x:v>
      </x:c>
      <x:c r="L56" s="20" t="n">
        <x:v>24</x:v>
      </x:c>
      <x:c r="M56" s="20" t="n">
        <x:v>30</x:v>
      </x:c>
      <x:c r="N56" s="20" t="n">
        <x:v>24</x:v>
      </x:c>
      <x:c r="O56" s="17" t="inlineStr">
        <x:is>
          <x:t xml:space="preserve">B-FIX-WASH-ENV or B-T-DES01</x:t>
        </x:is>
      </x:c>
      <x:c r="P56" s="17" t="inlineStr">
        <x:is>
          <x:t xml:space="preserve">Wet/thermal-zone laptop dock/monitor and LIMS access</x:t>
        </x:is>
      </x:c>
      <x:c r="Q56" s="18" t="inlineStr">
        <x:is>
          <x:t xml:space="preserve">120 V power and data/network</x:t>
        </x:is>
      </x:c>
      <x:c r="R56" s="18" t="inlineStr">
        <x:is>
          <x:t xml:space="preserve"/>
        </x:is>
      </x:c>
      <x:c r="S56" s="18" t="inlineStr">
        <x:is>
          <x:t xml:space="preserve"/>
        </x:is>
      </x:c>
      <x:c r="T56" s="18" t="inlineStr">
        <x:is>
          <x:t xml:space="preserve"/>
        </x:is>
      </x:c>
      <x:c r="U56" s="17" t="inlineStr">
        <x:is>
          <x:t xml:space="preserve">Reserve a 30 x 24 bench section; ceiling or bench service as appropriate</x:t>
        </x:is>
      </x:c>
      <x:c r="V56" s="17" t="inlineStr">
        <x:is>
          <x:t xml:space="preserve">AIT planning module</x:t>
        </x:is>
      </x:c>
      <x:c r="W56" s="18" t="inlineStr">
        <x:is>
          <x:t xml:space="preserve">AIT user direction</x:t>
        </x:is>
      </x:c>
      <x:c r="X56" s="18" t="inlineStr">
        <x:is>
          <x:t xml:space="preserve"/>
        </x:is>
      </x:c>
      <x:c r="Y56" s="17" t="inlineStr">
        <x:is>
          <x:t xml:space="preserve">This is an overlay/bench section, not an additional freestanding table.</x:t>
        </x:is>
      </x:c>
      <x:c r="Z56" s="17" t="inlineStr">
        <x:is>
          <x:t xml:space="preserve">SCENARIO B - EQUIPMENT</x:t>
        </x:is>
      </x:c>
      <x:c r="AA56" s="17" t="inlineStr">
        <x:is>
          <x:t xml:space="preserve">No</x:t>
        </x:is>
      </x:c>
      <x:c r="AB56" s="22" t="str">
        <x:f>IF(OR(H56="",I56=""),"",H56*I56/144)</x:f>
      </x:c>
      <x:c r="AC56" s="22" t="n">
        <x:f>IF(OR(M56="",N56=""),"",M56*N56/144)</x:f>
        <x:v>5</x:v>
      </x:c>
      <x:c r="AD56" s="22" t="n">
        <x:f>IF(AA56="Yes",E56*K56*L56/144,0)</x:f>
        <x:v>0</x:v>
      </x:c>
      <x:c r="AE56" s="22" t="n">
        <x:f>IF(OR(K56="",L56=""),"",K56*L56/144)</x:f>
        <x:v>5</x:v>
      </x:c>
      <x:c r="AF56" s="23" t="str">
        <x:f>IF(LEFT(D56,8)="Required","REQ",IF(LEFT(D56,11)="Conditional","COND",IF(LEFT(D56,8)="Template","TEMPLATE","REF")))</x:f>
        <x:v>REQ</x:v>
      </x:c>
      <x:c r="AG56" s="23" t="str">
        <x:f>IF(OR(ISNUMBER(SEARCH("verify",V56)),ISNUMBER(SEARCH("allowance",V56))),"REVIEW","")</x:f>
      </x:c>
    </x:row>
    <x:row r="57" ht="64" customHeight="1">
      <x:c r="A57" s="17" t="inlineStr">
        <x:is>
          <x:t xml:space="preserve">B-COMP-DK03</x:t>
        </x:is>
      </x:c>
      <x:c r="B57" s="17" t="inlineStr">
        <x:is>
          <x:t xml:space="preserve">Computer overlay</x:t>
        </x:is>
      </x:c>
      <x:c r="C57" s="17" t="inlineStr">
        <x:is>
          <x:t xml:space="preserve">Clean general analysis</x:t>
        </x:is>
      </x:c>
      <x:c r="D57" s="17" t="inlineStr">
        <x:is>
          <x:t xml:space="preserve">Required</x:t>
        </x:is>
      </x:c>
      <x:c r="E57" s="17" t="n">
        <x:v>1</x:v>
      </x:c>
      <x:c r="F57" s="17" t="inlineStr">
        <x:is>
          <x:t xml:space="preserve">LAPTOP DOCK + MONITOR STATION 3</x:t>
        </x:is>
      </x:c>
      <x:c r="G57" s="18" t="inlineStr">
        <x:is>
          <x:t xml:space="preserve">AIT laptop dock and monitor arm</x:t>
        </x:is>
      </x:c>
      <x:c r="H57" s="19" t="n"/>
      <x:c r="I57" s="19" t="n"/>
      <x:c r="J57" s="19" t="n"/>
      <x:c r="K57" s="20" t="n">
        <x:v>30</x:v>
      </x:c>
      <x:c r="L57" s="20" t="n">
        <x:v>24</x:v>
      </x:c>
      <x:c r="M57" s="20" t="n">
        <x:v>30</x:v>
      </x:c>
      <x:c r="N57" s="20" t="n">
        <x:v>24</x:v>
      </x:c>
      <x:c r="O57" s="17" t="inlineStr">
        <x:is>
          <x:t xml:space="preserve">B-T-CLEAN01 or B-T-CLEAN02</x:t>
        </x:is>
      </x:c>
      <x:c r="P57" s="17" t="inlineStr">
        <x:is>
          <x:t xml:space="preserve">Clean-zone laptop dock/monitor and LIMS review</x:t>
        </x:is>
      </x:c>
      <x:c r="Q57" s="18" t="inlineStr">
        <x:is>
          <x:t xml:space="preserve">120 V power and data/network</x:t>
        </x:is>
      </x:c>
      <x:c r="R57" s="18" t="inlineStr">
        <x:is>
          <x:t xml:space="preserve"/>
        </x:is>
      </x:c>
      <x:c r="S57" s="18" t="inlineStr">
        <x:is>
          <x:t xml:space="preserve"/>
        </x:is>
      </x:c>
      <x:c r="T57" s="18" t="inlineStr">
        <x:is>
          <x:t xml:space="preserve"/>
        </x:is>
      </x:c>
      <x:c r="U57" s="17" t="inlineStr">
        <x:is>
          <x:t xml:space="preserve">Reserve a 30 x 24 bench section; ceiling or bench service as appropriate</x:t>
        </x:is>
      </x:c>
      <x:c r="V57" s="17" t="inlineStr">
        <x:is>
          <x:t xml:space="preserve">AIT planning module</x:t>
        </x:is>
      </x:c>
      <x:c r="W57" s="18" t="inlineStr">
        <x:is>
          <x:t xml:space="preserve">AIT user direction</x:t>
        </x:is>
      </x:c>
      <x:c r="X57" s="18" t="inlineStr">
        <x:is>
          <x:t xml:space="preserve"/>
        </x:is>
      </x:c>
      <x:c r="Y57" s="17" t="inlineStr">
        <x:is>
          <x:t xml:space="preserve">This is an overlay/bench section, not an additional freestanding table.</x:t>
        </x:is>
      </x:c>
      <x:c r="Z57" s="17" t="inlineStr">
        <x:is>
          <x:t xml:space="preserve">SCENARIO B - EQUIPMENT</x:t>
        </x:is>
      </x:c>
      <x:c r="AA57" s="17" t="inlineStr">
        <x:is>
          <x:t xml:space="preserve">No</x:t>
        </x:is>
      </x:c>
      <x:c r="AB57" s="22" t="str">
        <x:f>IF(OR(H57="",I57=""),"",H57*I57/144)</x:f>
      </x:c>
      <x:c r="AC57" s="22" t="n">
        <x:f>IF(OR(M57="",N57=""),"",M57*N57/144)</x:f>
        <x:v>5</x:v>
      </x:c>
      <x:c r="AD57" s="22" t="n">
        <x:f>IF(AA57="Yes",E57*K57*L57/144,0)</x:f>
        <x:v>0</x:v>
      </x:c>
      <x:c r="AE57" s="22" t="n">
        <x:f>IF(OR(K57="",L57=""),"",K57*L57/144)</x:f>
        <x:v>5</x:v>
      </x:c>
      <x:c r="AF57" s="23" t="str">
        <x:f>IF(LEFT(D57,8)="Required","REQ",IF(LEFT(D57,11)="Conditional","COND",IF(LEFT(D57,8)="Template","TEMPLATE","REF")))</x:f>
        <x:v>REQ</x:v>
      </x:c>
      <x:c r="AG57" s="23" t="str">
        <x:f>IF(OR(ISNUMBER(SEARCH("verify",V57)),ISNUMBER(SEARCH("allowance",V57))),"REVIEW","")</x:f>
      </x:c>
    </x:row>
    <x:row r="58" ht="64" customHeight="1">
      <x:c r="A58" s="17" t="inlineStr">
        <x:is>
          <x:t xml:space="preserve">B-COMP-LECO</x:t>
        </x:is>
      </x:c>
      <x:c r="B58" s="17" t="inlineStr">
        <x:is>
          <x:t xml:space="preserve">Computer overlay</x:t>
        </x:is>
      </x:c>
      <x:c r="C58" s="17" t="inlineStr">
        <x:is>
          <x:t xml:space="preserve">Clean instrument</x:t>
        </x:is>
      </x:c>
      <x:c r="D58" s="17" t="inlineStr">
        <x:is>
          <x:t xml:space="preserve">Required</x:t>
        </x:is>
      </x:c>
      <x:c r="E58" s="17" t="n">
        <x:v>1</x:v>
      </x:c>
      <x:c r="F58" s="17" t="inlineStr">
        <x:is>
          <x:t xml:space="preserve">LECO STANDALONE PC / MONITOR</x:t>
        </x:is>
      </x:c>
      <x:c r="G58" s="18" t="inlineStr">
        <x:is>
          <x:t xml:space="preserve">PC included in LECO quoted package</x:t>
        </x:is>
      </x:c>
      <x:c r="H58" s="19" t="n"/>
      <x:c r="I58" s="19" t="n"/>
      <x:c r="J58" s="19" t="n"/>
      <x:c r="K58" s="20" t="n">
        <x:v>30</x:v>
      </x:c>
      <x:c r="L58" s="20" t="n">
        <x:v>24</x:v>
      </x:c>
      <x:c r="M58" s="20" t="n">
        <x:v>30</x:v>
      </x:c>
      <x:c r="N58" s="20" t="n">
        <x:v>24</x:v>
      </x:c>
      <x:c r="O58" s="17" t="inlineStr">
        <x:is>
          <x:t xml:space="preserve">B-T-LECO01</x:t>
        </x:is>
      </x:c>
      <x:c r="P58" s="17" t="inlineStr">
        <x:is>
          <x:t xml:space="preserve">LECO Cornerstone control/data</x:t>
        </x:is>
      </x:c>
      <x:c r="Q58" s="18" t="inlineStr">
        <x:is>
          <x:t xml:space="preserve">120 V power and data/network</x:t>
        </x:is>
      </x:c>
      <x:c r="R58" s="18" t="inlineStr">
        <x:is>
          <x:t xml:space="preserve"/>
        </x:is>
      </x:c>
      <x:c r="S58" s="18" t="inlineStr">
        <x:is>
          <x:t xml:space="preserve"/>
        </x:is>
      </x:c>
      <x:c r="T58" s="18" t="inlineStr">
        <x:is>
          <x:t xml:space="preserve"/>
        </x:is>
      </x:c>
      <x:c r="U58" s="17" t="inlineStr">
        <x:is>
          <x:t xml:space="preserve">At end of LECO bench or on approved arm; keep maintenance access clear</x:t>
        </x:is>
      </x:c>
      <x:c r="V58" s="17" t="inlineStr">
        <x:is>
          <x:t xml:space="preserve">Quote-confirmed PC; exact desk/monitor arrangement verify</x:t>
        </x:is>
      </x:c>
      <x:c r="W58" s="18" t="inlineStr">
        <x:is>
          <x:t xml:space="preserve">User-supplied LECO quotation 144186-0</x:t>
        </x:is>
      </x:c>
      <x:c r="X58" s="18" t="inlineStr">
        <x:is>
          <x:t xml:space="preserve"/>
        </x:is>
      </x:c>
      <x:c r="Y58" s="17" t="inlineStr">
        <x:is>
          <x:t xml:space="preserve">No separate 48 x 30 desk is reserved unless OEM workflow requires it.</x:t>
        </x:is>
      </x:c>
      <x:c r="Z58" s="17" t="inlineStr">
        <x:is>
          <x:t xml:space="preserve">SCENARIO B - EQUIPMENT</x:t>
        </x:is>
      </x:c>
      <x:c r="AA58" s="17" t="inlineStr">
        <x:is>
          <x:t xml:space="preserve">No</x:t>
        </x:is>
      </x:c>
      <x:c r="AB58" s="22" t="str">
        <x:f>IF(OR(H58="",I58=""),"",H58*I58/144)</x:f>
      </x:c>
      <x:c r="AC58" s="22" t="n">
        <x:f>IF(OR(M58="",N58=""),"",M58*N58/144)</x:f>
        <x:v>5</x:v>
      </x:c>
      <x:c r="AD58" s="22" t="n">
        <x:f>IF(AA58="Yes",E58*K58*L58/144,0)</x:f>
        <x:v>0</x:v>
      </x:c>
      <x:c r="AE58" s="22" t="n">
        <x:f>IF(OR(K58="",L58=""),"",K58*L58/144)</x:f>
        <x:v>5</x:v>
      </x:c>
      <x:c r="AF58" s="23" t="str">
        <x:f>IF(LEFT(D58,8)="Required","REQ",IF(LEFT(D58,11)="Conditional","COND",IF(LEFT(D58,8)="Template","TEMPLATE","REF")))</x:f>
        <x:v>REQ</x:v>
      </x:c>
      <x:c r="AG58" s="23" t="str">
        <x:f>IF(OR(ISNUMBER(SEARCH("verify",V58)),ISNUMBER(SEARCH("allowance",V58))),"REVIEW","")</x:f>
        <x:v>REVIEW</x:v>
      </x:c>
    </x:row>
    <x:row r="59" ht="64" customHeight="1">
      <x:c r="A59" s="17" t="inlineStr">
        <x:is>
          <x:t xml:space="preserve">B-COMP-SYKAM</x:t>
        </x:is>
      </x:c>
      <x:c r="B59" s="17" t="inlineStr">
        <x:is>
          <x:t xml:space="preserve">Computer overlay</x:t>
        </x:is>
      </x:c>
      <x:c r="C59" s="17" t="inlineStr">
        <x:is>
          <x:t xml:space="preserve">Clean instrument</x:t>
        </x:is>
      </x:c>
      <x:c r="D59" s="17" t="inlineStr">
        <x:is>
          <x:t xml:space="preserve">Required</x:t>
        </x:is>
      </x:c>
      <x:c r="E59" s="17" t="n">
        <x:v>1</x:v>
      </x:c>
      <x:c r="F59" s="17" t="inlineStr">
        <x:is>
          <x:t xml:space="preserve">SYKAM STANDALONE PC / MONITOR</x:t>
        </x:is>
      </x:c>
      <x:c r="G59" s="18" t="inlineStr">
        <x:is>
          <x:t xml:space="preserve">Standalone chromatography workstation - final configuration verify</x:t>
        </x:is>
      </x:c>
      <x:c r="H59" s="19" t="n"/>
      <x:c r="I59" s="19" t="n"/>
      <x:c r="J59" s="19" t="n"/>
      <x:c r="K59" s="20" t="n">
        <x:v>30</x:v>
      </x:c>
      <x:c r="L59" s="20" t="n">
        <x:v>24</x:v>
      </x:c>
      <x:c r="M59" s="20" t="n">
        <x:v>30</x:v>
      </x:c>
      <x:c r="N59" s="20" t="n">
        <x:v>24</x:v>
      </x:c>
      <x:c r="O59" s="17" t="inlineStr">
        <x:is>
          <x:t xml:space="preserve">B-T-SYKAM01</x:t>
        </x:is>
      </x:c>
      <x:c r="P59" s="17" t="inlineStr">
        <x:is>
          <x:t xml:space="preserve">Sykam control/data</x:t>
        </x:is>
      </x:c>
      <x:c r="Q59" s="18" t="inlineStr">
        <x:is>
          <x:t xml:space="preserve">120 V power, UPS and data/network</x:t>
        </x:is>
      </x:c>
      <x:c r="R59" s="18" t="inlineStr">
        <x:is>
          <x:t xml:space="preserve"/>
        </x:is>
      </x:c>
      <x:c r="S59" s="18" t="inlineStr">
        <x:is>
          <x:t xml:space="preserve"/>
        </x:is>
      </x:c>
      <x:c r="T59" s="18" t="inlineStr">
        <x:is>
          <x:t xml:space="preserve"/>
        </x:is>
      </x:c>
      <x:c r="U59" s="17" t="inlineStr">
        <x:is>
          <x:t xml:space="preserve">At end of Sykam bench or approved arm</x:t>
        </x:is>
      </x:c>
      <x:c r="V59" s="17" t="inlineStr">
        <x:is>
          <x:t xml:space="preserve">Planning allowance</x:t>
        </x:is>
      </x:c>
      <x:c r="W59" s="18" t="inlineStr">
        <x:is>
          <x:t xml:space="preserve">Scenario B starter prompt</x:t>
        </x:is>
      </x:c>
      <x:c r="X59" s="18" t="inlineStr">
        <x:is>
          <x:t xml:space="preserve"/>
        </x:is>
      </x:c>
      <x:c r="Y59" s="17" t="inlineStr">
        <x:is>
          <x:t xml:space="preserve">Keep as an independent overlay; final PC form factor and UPS are OEM decisions.</x:t>
        </x:is>
      </x:c>
      <x:c r="Z59" s="17" t="inlineStr">
        <x:is>
          <x:t xml:space="preserve">SCENARIO B - EQUIPMENT</x:t>
        </x:is>
      </x:c>
      <x:c r="AA59" s="17" t="inlineStr">
        <x:is>
          <x:t xml:space="preserve">No</x:t>
        </x:is>
      </x:c>
      <x:c r="AB59" s="22" t="str">
        <x:f>IF(OR(H59="",I59=""),"",H59*I59/144)</x:f>
      </x:c>
      <x:c r="AC59" s="22" t="n">
        <x:f>IF(OR(M59="",N59=""),"",M59*N59/144)</x:f>
        <x:v>5</x:v>
      </x:c>
      <x:c r="AD59" s="22" t="n">
        <x:f>IF(AA59="Yes",E59*K59*L59/144,0)</x:f>
        <x:v>0</x:v>
      </x:c>
      <x:c r="AE59" s="22" t="n">
        <x:f>IF(OR(K59="",L59=""),"",K59*L59/144)</x:f>
        <x:v>5</x:v>
      </x:c>
      <x:c r="AF59" s="23" t="str">
        <x:f>IF(LEFT(D59,8)="Required","REQ",IF(LEFT(D59,11)="Conditional","COND",IF(LEFT(D59,8)="Template","TEMPLATE","REF")))</x:f>
        <x:v>REQ</x:v>
      </x:c>
      <x:c r="AG59" s="23" t="str">
        <x:f>IF(OR(ISNUMBER(SEARCH("verify",V59)),ISNUMBER(SEARCH("allowance",V59))),"REVIEW","")</x:f>
        <x:v>REVIEW</x:v>
      </x:c>
    </x:row>
    <x:row r="60" ht="64" customHeight="1">
      <x:c r="A60" s="17" t="inlineStr">
        <x:is>
          <x:t xml:space="preserve">B-UTIL-DUST01</x:t>
        </x:is>
      </x:c>
      <x:c r="B60" s="17" t="inlineStr">
        <x:is>
          <x:t xml:space="preserve">Floor utility</x:t>
        </x:is>
      </x:c>
      <x:c r="C60" s="17" t="inlineStr">
        <x:is>
          <x:t xml:space="preserve">Dirty / noisy prep</x:t>
        </x:is>
      </x:c>
      <x:c r="D60" s="17" t="inlineStr">
        <x:is>
          <x:t xml:space="preserve">Required</x:t>
        </x:is>
      </x:c>
      <x:c r="E60" s="17" t="n">
        <x:v>1</x:v>
      </x:c>
      <x:c r="F60" s="17" t="inlineStr">
        <x:is>
          <x:t xml:space="preserve">24 x 24 DUST COLLECTION UNIT - PRIMARY MILL</x:t>
        </x:is>
      </x:c>
      <x:c r="G60" s="18" t="inlineStr">
        <x:is>
          <x:t xml:space="preserve">Local dust collector/cyclone - model to select</x:t>
        </x:is>
      </x:c>
      <x:c r="H60" s="19" t="n"/>
      <x:c r="I60" s="19" t="n"/>
      <x:c r="J60" s="19" t="n"/>
      <x:c r="K60" s="20" t="n">
        <x:v>24</x:v>
      </x:c>
      <x:c r="L60" s="20" t="n">
        <x:v>24</x:v>
      </x:c>
      <x:c r="M60" s="20" t="n">
        <x:v>36</x:v>
      </x:c>
      <x:c r="N60" s="20" t="n">
        <x:v>36</x:v>
      </x:c>
      <x:c r="O60" s="17" t="inlineStr">
        <x:is>
          <x:t xml:space="preserve">B-EQ-PREP01</x:t>
        </x:is>
      </x:c>
      <x:c r="P60" s="17" t="inlineStr">
        <x:is>
          <x:t xml:space="preserve">PULVERISETTE 19 dust control</x:t>
        </x:is>
      </x:c>
      <x:c r="Q60" s="18" t="inlineStr">
        <x:is>
          <x:t xml:space="preserve">Confirm selected unit</x:t>
        </x:is>
      </x:c>
      <x:c r="R60" s="18" t="inlineStr">
        <x:is>
          <x:t xml:space="preserve"/>
        </x:is>
      </x:c>
      <x:c r="S60" s="18" t="inlineStr">
        <x:is>
          <x:t xml:space="preserve"/>
        </x:is>
      </x:c>
      <x:c r="T60" s="18" t="inlineStr">
        <x:is>
          <x:t xml:space="preserve">Discharge/filtration per EHS and facility design</x:t>
        </x:is>
      </x:c>
      <x:c r="U60" s="17" t="inlineStr">
        <x:is>
          <x:t xml:space="preserve">Near P19 without blocking service or aisle</x:t>
        </x:is>
      </x:c>
      <x:c r="V60" s="17" t="inlineStr">
        <x:is>
          <x:t xml:space="preserve">Planning allowance</x:t>
        </x:is>
      </x:c>
      <x:c r="W60" s="18" t="inlineStr">
        <x:is>
          <x:t xml:space="preserve">Scenario B site requirements</x:t>
        </x:is>
      </x:c>
      <x:c r="X60" s="18" t="inlineStr">
        <x:is>
          <x:t xml:space="preserve"/>
        </x:is>
      </x:c>
      <x:c r="Y60" s="17" t="inlineStr">
        <x:is>
          <x:t xml:space="preserve">Final model may be bench-mounted, floor-standing or remote.</x:t>
        </x:is>
      </x:c>
      <x:c r="Z60" s="17" t="inlineStr">
        <x:is>
          <x:t xml:space="preserve">SCENARIO B - UTILITIES</x:t>
        </x:is>
      </x:c>
      <x:c r="AA60" s="17" t="inlineStr">
        <x:is>
          <x:t xml:space="preserve">Yes</x:t>
        </x:is>
      </x:c>
      <x:c r="AB60" s="22" t="str">
        <x:f>IF(OR(H60="",I60=""),"",H60*I60/144)</x:f>
      </x:c>
      <x:c r="AC60" s="22" t="n">
        <x:f>IF(OR(M60="",N60=""),"",M60*N60/144)</x:f>
        <x:v>9</x:v>
      </x:c>
      <x:c r="AD60" s="22" t="n">
        <x:f>IF(AA60="Yes",E60*K60*L60/144,0)</x:f>
        <x:v>4</x:v>
      </x:c>
      <x:c r="AE60" s="22" t="n">
        <x:f>IF(OR(K60="",L60=""),"",K60*L60/144)</x:f>
        <x:v>4</x:v>
      </x:c>
      <x:c r="AF60" s="23" t="str">
        <x:f>IF(LEFT(D60,8)="Required","REQ",IF(LEFT(D60,11)="Conditional","COND",IF(LEFT(D60,8)="Template","TEMPLATE","REF")))</x:f>
        <x:v>REQ</x:v>
      </x:c>
      <x:c r="AG60" s="23" t="str">
        <x:f>IF(OR(ISNUMBER(SEARCH("verify",V60)),ISNUMBER(SEARCH("allowance",V60))),"REVIEW","")</x:f>
        <x:v>REVIEW</x:v>
      </x:c>
    </x:row>
    <x:row r="61" ht="64" customHeight="1">
      <x:c r="A61" s="17" t="inlineStr">
        <x:is>
          <x:t xml:space="preserve">B-UTIL-DUST02</x:t>
        </x:is>
      </x:c>
      <x:c r="B61" s="17" t="inlineStr">
        <x:is>
          <x:t xml:space="preserve">Floor utility</x:t>
        </x:is>
      </x:c>
      <x:c r="C61" s="17" t="inlineStr">
        <x:is>
          <x:t xml:space="preserve">Dirty / noisy prep</x:t>
        </x:is>
      </x:c>
      <x:c r="D61" s="17" t="inlineStr">
        <x:is>
          <x:t xml:space="preserve">Required</x:t>
        </x:is>
      </x:c>
      <x:c r="E61" s="17" t="n">
        <x:v>1</x:v>
      </x:c>
      <x:c r="F61" s="17" t="inlineStr">
        <x:is>
          <x:t xml:space="preserve">24 x 24 DUST COLLECTION UNIT - FINE PREP</x:t>
        </x:is>
      </x:c>
      <x:c r="G61" s="18" t="inlineStr">
        <x:is>
          <x:t xml:space="preserve">Local dust collector/cyclone - model to select</x:t>
        </x:is>
      </x:c>
      <x:c r="H61" s="19" t="n"/>
      <x:c r="I61" s="19" t="n"/>
      <x:c r="J61" s="19" t="n"/>
      <x:c r="K61" s="20" t="n">
        <x:v>24</x:v>
      </x:c>
      <x:c r="L61" s="20" t="n">
        <x:v>24</x:v>
      </x:c>
      <x:c r="M61" s="20" t="n">
        <x:v>36</x:v>
      </x:c>
      <x:c r="N61" s="20" t="n">
        <x:v>36</x:v>
      </x:c>
      <x:c r="O61" s="17" t="inlineStr">
        <x:is>
          <x:t xml:space="preserve">B-EQ-PREP04 / B-EQ-PREP05</x:t>
        </x:is>
      </x:c>
      <x:c r="P61" s="17" t="inlineStr">
        <x:is>
          <x:t xml:space="preserve">CT293/fine-prep dust control</x:t>
        </x:is>
      </x:c>
      <x:c r="Q61" s="18" t="inlineStr">
        <x:is>
          <x:t xml:space="preserve">Confirm selected unit</x:t>
        </x:is>
      </x:c>
      <x:c r="R61" s="18" t="inlineStr">
        <x:is>
          <x:t xml:space="preserve"/>
        </x:is>
      </x:c>
      <x:c r="S61" s="18" t="inlineStr">
        <x:is>
          <x:t xml:space="preserve"/>
        </x:is>
      </x:c>
      <x:c r="T61" s="18" t="inlineStr">
        <x:is>
          <x:t xml:space="preserve">Discharge/filtration per EHS and facility design</x:t>
        </x:is>
      </x:c>
      <x:c r="U61" s="17" t="inlineStr">
        <x:is>
          <x:t xml:space="preserve">Near fine-prep bench without blocking collection bottles</x:t>
        </x:is>
      </x:c>
      <x:c r="V61" s="17" t="inlineStr">
        <x:is>
          <x:t xml:space="preserve">Planning allowance</x:t>
        </x:is>
      </x:c>
      <x:c r="W61" s="18" t="inlineStr">
        <x:is>
          <x:t xml:space="preserve">Scenario B site requirements</x:t>
        </x:is>
      </x:c>
      <x:c r="X61" s="18" t="inlineStr">
        <x:is>
          <x:t xml:space="preserve"/>
        </x:is>
      </x:c>
      <x:c r="Y61" s="17" t="inlineStr">
        <x:is>
          <x:t xml:space="preserve">May be combined with primary collection only if engineering review supports it.</x:t>
        </x:is>
      </x:c>
      <x:c r="Z61" s="17" t="inlineStr">
        <x:is>
          <x:t xml:space="preserve">SCENARIO B - UTILITIES</x:t>
        </x:is>
      </x:c>
      <x:c r="AA61" s="17" t="inlineStr">
        <x:is>
          <x:t xml:space="preserve">Yes</x:t>
        </x:is>
      </x:c>
      <x:c r="AB61" s="22" t="str">
        <x:f>IF(OR(H61="",I61=""),"",H61*I61/144)</x:f>
      </x:c>
      <x:c r="AC61" s="22" t="n">
        <x:f>IF(OR(M61="",N61=""),"",M61*N61/144)</x:f>
        <x:v>9</x:v>
      </x:c>
      <x:c r="AD61" s="22" t="n">
        <x:f>IF(AA61="Yes",E61*K61*L61/144,0)</x:f>
        <x:v>4</x:v>
      </x:c>
      <x:c r="AE61" s="22" t="n">
        <x:f>IF(OR(K61="",L61=""),"",K61*L61/144)</x:f>
        <x:v>4</x:v>
      </x:c>
      <x:c r="AF61" s="23" t="str">
        <x:f>IF(LEFT(D61,8)="Required","REQ",IF(LEFT(D61,11)="Conditional","COND",IF(LEFT(D61,8)="Template","TEMPLATE","REF")))</x:f>
        <x:v>REQ</x:v>
      </x:c>
      <x:c r="AG61" s="23" t="str">
        <x:f>IF(OR(ISNUMBER(SEARCH("verify",V61)),ISNUMBER(SEARCH("allowance",V61))),"REVIEW","")</x:f>
        <x:v>REVIEW</x:v>
      </x:c>
    </x:row>
    <x:row r="62" ht="64" customHeight="1">
      <x:c r="A62" s="17" t="inlineStr">
        <x:is>
          <x:t xml:space="preserve">B-T-WETPREP01</x:t>
        </x:is>
      </x:c>
      <x:c r="B62" s="17" t="inlineStr">
        <x:is>
          <x:t xml:space="preserve">Conditional furniture</x:t>
        </x:is>
      </x:c>
      <x:c r="C62" s="17" t="inlineStr">
        <x:is>
          <x:t xml:space="preserve">Wet chemistry / fiber</x:t>
        </x:is>
      </x:c>
      <x:c r="D62" s="17" t="inlineStr">
        <x:is>
          <x:t xml:space="preserve">Conditional - add only if wash/hood surfaces are insufficient</x:t>
        </x:is>
      </x:c>
      <x:c r="E62" s="17" t="n">
        <x:v>1</x:v>
      </x:c>
      <x:c r="F62" s="17" t="inlineStr">
        <x:is>
          <x:t xml:space="preserve">72 x 30 GENERAL WET-PREP / CABINET BENCH</x:t>
        </x:is>
      </x:c>
      <x:c r="G62" s="18" t="inlineStr">
        <x:is>
          <x:t xml:space="preserve">Uline-style lab cabinet workbench or compatible acid-resistant bench</x:t>
        </x:is>
      </x:c>
      <x:c r="H62" s="19" t="n"/>
      <x:c r="I62" s="19" t="n"/>
      <x:c r="J62" s="19" t="n"/>
      <x:c r="K62" s="20" t="n">
        <x:v>72</x:v>
      </x:c>
      <x:c r="L62" s="20" t="n">
        <x:v>30</x:v>
      </x:c>
      <x:c r="M62" s="20" t="n">
        <x:v>72</x:v>
      </x:c>
      <x:c r="N62" s="20" t="n">
        <x:v>30</x:v>
      </x:c>
      <x:c r="O62" s="17" t="inlineStr">
        <x:is>
          <x:t xml:space="preserve"/>
        </x:is>
      </x:c>
      <x:c r="P62" s="17" t="inlineStr">
        <x:is>
          <x:t xml:space="preserve">Phosphorus/starch reagent prep and general wet work</x:t>
        </x:is>
      </x:c>
      <x:c r="Q62" s="18" t="inlineStr">
        <x:is>
          <x:t xml:space="preserve"/>
        </x:is>
      </x:c>
      <x:c r="R62" s="18" t="inlineStr">
        <x:is>
          <x:t xml:space="preserve"/>
        </x:is>
      </x:c>
      <x:c r="S62" s="18" t="inlineStr">
        <x:is>
          <x:t xml:space="preserve"/>
        </x:is>
      </x:c>
      <x:c r="T62" s="18" t="inlineStr">
        <x:is>
          <x:t xml:space="preserve"/>
        </x:is>
      </x:c>
      <x:c r="U62" s="17" t="inlineStr">
        <x:is>
          <x:t xml:space="preserve">Near wash station and hoods, not over the utility manifold</x:t>
        </x:is>
      </x:c>
      <x:c r="V62" s="17" t="inlineStr">
        <x:is>
          <x:t xml:space="preserve">Source-verified module; need for it depends on B1 fit</x:t>
        </x:is>
      </x:c>
      <x:c r="W62" s="18" t="inlineStr">
        <x:is>
          <x:t xml:space="preserve">Uline Lab Cabinet Workbenches</x:t>
        </x:is>
      </x:c>
      <x:c r="X62" s="21" t="inlineStr">
        <x:is>
          <x:t xml:space="preserve">https://www.uline.com/BL_4572/Lab-Cabinet-Workbenches</x:t>
        </x:is>
      </x:c>
      <x:c r="Y62" s="17" t="inlineStr">
        <x:is>
          <x:t xml:space="preserve">Park on the object-library page until the required equipment fits; do not force into B1 by shrinking aisles.</x:t>
        </x:is>
      </x:c>
      <x:c r="Z62" s="17" t="inlineStr">
        <x:is>
          <x:t xml:space="preserve">SCENARIO B - FURNITURE</x:t>
        </x:is>
      </x:c>
      <x:c r="AA62" s="17" t="inlineStr">
        <x:is>
          <x:t xml:space="preserve">Yes</x:t>
        </x:is>
      </x:c>
      <x:c r="AB62" s="22" t="str">
        <x:f>IF(OR(H62="",I62=""),"",H62*I62/144)</x:f>
      </x:c>
      <x:c r="AC62" s="22" t="n">
        <x:f>IF(OR(M62="",N62=""),"",M62*N62/144)</x:f>
        <x:v>15</x:v>
      </x:c>
      <x:c r="AD62" s="22" t="n">
        <x:f>IF(AA62="Yes",E62*K62*L62/144,0)</x:f>
        <x:v>15</x:v>
      </x:c>
      <x:c r="AE62" s="22" t="n">
        <x:f>IF(OR(K62="",L62=""),"",K62*L62/144)</x:f>
        <x:v>15</x:v>
      </x:c>
      <x:c r="AF62" s="23" t="str">
        <x:f>IF(LEFT(D62,8)="Required","REQ",IF(LEFT(D62,11)="Conditional","COND",IF(LEFT(D62,8)="Template","TEMPLATE","REF")))</x:f>
        <x:v>COND</x:v>
      </x:c>
      <x:c r="AG62" s="23" t="str">
        <x:f>IF(OR(ISNUMBER(SEARCH("verify",V62)),ISNUMBER(SEARCH("allowance",V62))),"REVIEW","")</x:f>
      </x:c>
    </x:row>
    <x:row r="63" ht="64" customHeight="1">
      <x:c r="A63" s="17" t="inlineStr">
        <x:is>
          <x:t xml:space="preserve">B-T-EXP01</x:t>
        </x:is>
      </x:c>
      <x:c r="B63" s="17" t="inlineStr">
        <x:is>
          <x:t xml:space="preserve">Conditional furniture</x:t>
        </x:is>
      </x:c>
      <x:c r="C63" s="17" t="inlineStr">
        <x:is>
          <x:t xml:space="preserve">Expansion reserve</x:t>
        </x:is>
      </x:c>
      <x:c r="D63" s="17" t="inlineStr">
        <x:is>
          <x:t xml:space="preserve">Conditional - reserve only if space allows</x:t>
        </x:is>
      </x:c>
      <x:c r="E63" s="17" t="n">
        <x:v>1</x:v>
      </x:c>
      <x:c r="F63" s="17" t="inlineStr">
        <x:is>
          <x:t xml:space="preserve">96 x 36 FUTURE EXPANSION BENCH</x:t>
        </x:is>
      </x:c>
      <x:c r="G63" s="18" t="inlineStr">
        <x:is>
          <x:t xml:space="preserve">Uline-style 96 x 36 phenolic lab workbench</x:t>
        </x:is>
      </x:c>
      <x:c r="H63" s="19" t="n"/>
      <x:c r="I63" s="19" t="n"/>
      <x:c r="J63" s="19" t="n"/>
      <x:c r="K63" s="20" t="n">
        <x:v>96</x:v>
      </x:c>
      <x:c r="L63" s="20" t="n">
        <x:v>36</x:v>
      </x:c>
      <x:c r="M63" s="20" t="n">
        <x:v>96</x:v>
      </x:c>
      <x:c r="N63" s="20" t="n">
        <x:v>36</x:v>
      </x:c>
      <x:c r="O63" s="17" t="inlineStr">
        <x:is>
          <x:t xml:space="preserve"/>
        </x:is>
      </x:c>
      <x:c r="P63" s="17" t="inlineStr">
        <x:is>
          <x:t xml:space="preserve">Future Scenario A/C upgrade or unselected support equipment</x:t>
        </x:is>
      </x:c>
      <x:c r="Q63" s="18" t="inlineStr">
        <x:is>
          <x:t xml:space="preserve"/>
        </x:is>
      </x:c>
      <x:c r="R63" s="18" t="inlineStr">
        <x:is>
          <x:t xml:space="preserve"/>
        </x:is>
      </x:c>
      <x:c r="S63" s="18" t="inlineStr">
        <x:is>
          <x:t xml:space="preserve"/>
        </x:is>
      </x:c>
      <x:c r="T63" s="18" t="inlineStr">
        <x:is>
          <x:t xml:space="preserve"/>
        </x:is>
      </x:c>
      <x:c r="U63" s="17" t="inlineStr">
        <x:is>
          <x:t xml:space="preserve">Adjacent to utility or clean spine without blocking current circulation</x:t>
        </x:is>
      </x:c>
      <x:c r="V63" s="17" t="inlineStr">
        <x:is>
          <x:t xml:space="preserve">Source-verified module; optional in initial B1</x:t>
        </x:is>
      </x:c>
      <x:c r="W63" s="18" t="inlineStr">
        <x:is>
          <x:t xml:space="preserve">Uline Lab Workbenches</x:t>
        </x:is>
      </x:c>
      <x:c r="X63" s="21" t="inlineStr">
        <x:is>
          <x:t xml:space="preserve">https://www.uline.com/BL_3509/Lab-Workbenches</x:t>
        </x:is>
      </x:c>
      <x:c r="Y63" s="17" t="inlineStr">
        <x:is>
          <x:t xml:space="preserve">Do not count this as required launch furniture if it prevents a safe, workable Scenario B layout.</x:t>
        </x:is>
      </x:c>
      <x:c r="Z63" s="17" t="inlineStr">
        <x:is>
          <x:t xml:space="preserve">SCENARIO B - FURNITURE</x:t>
        </x:is>
      </x:c>
      <x:c r="AA63" s="17" t="inlineStr">
        <x:is>
          <x:t xml:space="preserve">Yes</x:t>
        </x:is>
      </x:c>
      <x:c r="AB63" s="22" t="str">
        <x:f>IF(OR(H63="",I63=""),"",H63*I63/144)</x:f>
      </x:c>
      <x:c r="AC63" s="22" t="n">
        <x:f>IF(OR(M63="",N63=""),"",M63*N63/144)</x:f>
        <x:v>24</x:v>
      </x:c>
      <x:c r="AD63" s="22" t="n">
        <x:f>IF(AA63="Yes",E63*K63*L63/144,0)</x:f>
        <x:v>24</x:v>
      </x:c>
      <x:c r="AE63" s="22" t="n">
        <x:f>IF(OR(K63="",L63=""),"",K63*L63/144)</x:f>
        <x:v>24</x:v>
      </x:c>
      <x:c r="AF63" s="23" t="str">
        <x:f>IF(LEFT(D63,8)="Required","REQ",IF(LEFT(D63,11)="Conditional","COND",IF(LEFT(D63,8)="Template","TEMPLATE","REF")))</x:f>
        <x:v>COND</x:v>
      </x:c>
      <x:c r="AG63" s="23" t="str">
        <x:f>IF(OR(ISNUMBER(SEARCH("verify",V63)),ISNUMBER(SEARCH("allowance",V63))),"REVIEW","")</x:f>
      </x:c>
    </x:row>
    <x:row r="64" ht="64" customHeight="1">
      <x:c r="A64" s="17" t="inlineStr">
        <x:is>
          <x:t xml:space="preserve">B-STOR-COLD01</x:t>
        </x:is>
      </x:c>
      <x:c r="B64" s="17" t="inlineStr">
        <x:is>
          <x:t xml:space="preserve">Conditional storage</x:t>
        </x:is>
      </x:c>
      <x:c r="C64" s="17" t="inlineStr">
        <x:is>
          <x:t xml:space="preserve">Clean instrument</x:t>
        </x:is>
      </x:c>
      <x:c r="D64" s="17" t="inlineStr">
        <x:is>
          <x:t xml:space="preserve">Conditional - add if Sykam reagents require local cold storage</x:t>
        </x:is>
      </x:c>
      <x:c r="E64" s="17" t="n">
        <x:v>1</x:v>
      </x:c>
      <x:c r="F64" s="17" t="inlineStr">
        <x:is>
          <x:t xml:space="preserve">24 x 30 UNDERCOUNTER REAGENT REFRIGERATOR</x:t>
        </x:is>
      </x:c>
      <x:c r="G64" s="18" t="inlineStr">
        <x:is>
          <x:t xml:space="preserve">Laboratory refrigerator - model to select</x:t>
        </x:is>
      </x:c>
      <x:c r="H64" s="19" t="n"/>
      <x:c r="I64" s="19" t="n"/>
      <x:c r="J64" s="19" t="n"/>
      <x:c r="K64" s="20" t="n">
        <x:v>24</x:v>
      </x:c>
      <x:c r="L64" s="20" t="n">
        <x:v>30</x:v>
      </x:c>
      <x:c r="M64" s="20" t="n">
        <x:v>24</x:v>
      </x:c>
      <x:c r="N64" s="20" t="n">
        <x:v>30</x:v>
      </x:c>
      <x:c r="O64" s="17" t="inlineStr">
        <x:is>
          <x:t xml:space="preserve"/>
        </x:is>
      </x:c>
      <x:c r="P64" s="17" t="inlineStr">
        <x:is>
          <x:t xml:space="preserve">Sykam standards/reagents requiring local cold storage</x:t>
        </x:is>
      </x:c>
      <x:c r="Q64" s="18" t="inlineStr">
        <x:is>
          <x:t xml:space="preserve">Dedicated 120 V as selected; emergency power decision</x:t>
        </x:is>
      </x:c>
      <x:c r="R64" s="18" t="inlineStr">
        <x:is>
          <x:t xml:space="preserve"/>
        </x:is>
      </x:c>
      <x:c r="S64" s="18" t="inlineStr">
        <x:is>
          <x:t xml:space="preserve"/>
        </x:is>
      </x:c>
      <x:c r="T64" s="18" t="inlineStr">
        <x:is>
          <x:t xml:space="preserve"/>
        </x:is>
      </x:c>
      <x:c r="U64" s="17" t="inlineStr">
        <x:is>
          <x:t xml:space="preserve">Near Sykam but outside heat/solvent/acid zones</x:t>
        </x:is>
      </x:c>
      <x:c r="V64" s="17" t="inlineStr">
        <x:is>
          <x:t xml:space="preserve">Planning allowance - OEM/reagent plan required</x:t>
        </x:is>
      </x:c>
      <x:c r="W64" s="18" t="inlineStr">
        <x:is>
          <x:t xml:space="preserve">Scenario B site requirements</x:t>
        </x:is>
      </x:c>
      <x:c r="X64" s="18" t="inlineStr">
        <x:is>
          <x:t xml:space="preserve"/>
        </x:is>
      </x:c>
      <x:c r="Y64" s="17" t="inlineStr">
        <x:is>
          <x:t xml:space="preserve">May fit under an approved bench; this row reserves the footprint until the reagent plan is confirmed.</x:t>
        </x:is>
      </x:c>
      <x:c r="Z64" s="17" t="inlineStr">
        <x:is>
          <x:t xml:space="preserve">SCENARIO B - FURNITURE</x:t>
        </x:is>
      </x:c>
      <x:c r="AA64" s="17" t="inlineStr">
        <x:is>
          <x:t xml:space="preserve">Yes</x:t>
        </x:is>
      </x:c>
      <x:c r="AB64" s="22" t="str">
        <x:f>IF(OR(H64="",I64=""),"",H64*I64/144)</x:f>
      </x:c>
      <x:c r="AC64" s="22" t="n">
        <x:f>IF(OR(M64="",N64=""),"",M64*N64/144)</x:f>
        <x:v>5</x:v>
      </x:c>
      <x:c r="AD64" s="22" t="n">
        <x:f>IF(AA64="Yes",E64*K64*L64/144,0)</x:f>
        <x:v>5</x:v>
      </x:c>
      <x:c r="AE64" s="22" t="n">
        <x:f>IF(OR(K64="",L64=""),"",K64*L64/144)</x:f>
        <x:v>5</x:v>
      </x:c>
      <x:c r="AF64" s="23" t="str">
        <x:f>IF(LEFT(D64,8)="Required","REQ",IF(LEFT(D64,11)="Conditional","COND",IF(LEFT(D64,8)="Template","TEMPLATE","REF")))</x:f>
        <x:v>COND</x:v>
      </x:c>
      <x:c r="AG64" s="23" t="str">
        <x:f>IF(OR(ISNUMBER(SEARCH("verify",V64)),ISNUMBER(SEARCH("allowance",V64))),"REVIEW","")</x:f>
        <x:v>REVIEW</x:v>
      </x:c>
    </x:row>
    <x:row r="65" ht="64" customHeight="1">
      <x:c r="A65" s="17" t="inlineStr">
        <x:is>
          <x:t xml:space="preserve">B-U-PD01..05</x:t>
        </x:is>
      </x:c>
      <x:c r="B65" s="17" t="inlineStr">
        <x:is>
          <x:t xml:space="preserve">Utility template</x:t>
        </x:is>
      </x:c>
      <x:c r="C65" s="17" t="inlineStr">
        <x:is>
          <x:t xml:space="preserve">Distributed</x:t>
        </x:is>
      </x:c>
      <x:c r="D65" s="17" t="inlineStr">
        <x:is>
          <x:t xml:space="preserve">Template - create five separate candidate drops</x:t>
        </x:is>
      </x:c>
      <x:c r="E65" s="17" t="n">
        <x:v>5</x:v>
      </x:c>
      <x:c r="F65" s="17" t="inlineStr">
        <x:is>
          <x:t xml:space="preserve">CEILING POWER + DATA DROP</x:t>
        </x:is>
      </x:c>
      <x:c r="G65" s="18" t="inlineStr">
        <x:is>
          <x:t xml:space="preserve">Overhead service drop candidate</x:t>
        </x:is>
      </x:c>
      <x:c r="H65" s="19" t="n"/>
      <x:c r="I65" s="19" t="n"/>
      <x:c r="J65" s="19" t="n"/>
      <x:c r="K65" s="20" t="n">
        <x:v>12</x:v>
      </x:c>
      <x:c r="L65" s="20" t="n">
        <x:v>12</x:v>
      </x:c>
      <x:c r="M65" s="20" t="n">
        <x:v>12</x:v>
      </x:c>
      <x:c r="N65" s="20" t="n">
        <x:v>12</x:v>
      </x:c>
      <x:c r="O65" s="17" t="inlineStr">
        <x:is>
          <x:t xml:space="preserve"/>
        </x:is>
      </x:c>
      <x:c r="P65" s="17" t="inlineStr">
        <x:is>
          <x:t xml:space="preserve">Prep, clean island, LECO, Sykam and expansion/overflow</x:t>
        </x:is>
      </x:c>
      <x:c r="Q65" s="18" t="inlineStr">
        <x:is>
          <x:t xml:space="preserve">Circuit/load to be assigned by MEP</x:t>
        </x:is>
      </x:c>
      <x:c r="R65" s="18" t="inlineStr">
        <x:is>
          <x:t xml:space="preserve"/>
        </x:is>
      </x:c>
      <x:c r="S65" s="18" t="inlineStr">
        <x:is>
          <x:t xml:space="preserve"/>
        </x:is>
      </x:c>
      <x:c r="T65" s="18" t="inlineStr">
        <x:is>
          <x:t xml:space="preserve"/>
        </x:is>
      </x:c>
      <x:c r="U65" s="17" t="inlineStr">
        <x:is>
          <x:t xml:space="preserve">Avoid lights, diffusers, sprinklers and access panels</x:t>
        </x:is>
      </x:c>
      <x:c r="V65" s="17" t="inlineStr">
        <x:is>
          <x:t xml:space="preserve">Planning assumption - MEP verify</x:t>
        </x:is>
      </x:c>
      <x:c r="W65" s="18" t="inlineStr">
        <x:is>
          <x:t xml:space="preserve">AIT user direction</x:t>
        </x:is>
      </x:c>
      <x:c r="X65" s="18" t="inlineStr">
        <x:is>
          <x:t xml:space="preserve"/>
        </x:is>
      </x:c>
      <x:c r="Y65" s="17" t="inlineStr">
        <x:is>
          <x:t xml:space="preserve">Create five individually movable objects with sequential IDs. Do not route or size circuits in SmartDraw.</x:t>
        </x:is>
      </x:c>
      <x:c r="Z65" s="17" t="inlineStr">
        <x:is>
          <x:t xml:space="preserve">SCENARIO B - UTILITIES</x:t>
        </x:is>
      </x:c>
      <x:c r="AA65" s="17" t="inlineStr">
        <x:is>
          <x:t xml:space="preserve">No</x:t>
        </x:is>
      </x:c>
      <x:c r="AB65" s="22" t="str">
        <x:f>IF(OR(H65="",I65=""),"",H65*I65/144)</x:f>
      </x:c>
      <x:c r="AC65" s="22" t="n">
        <x:f>IF(OR(M65="",N65=""),"",M65*N65/144)</x:f>
        <x:v>1</x:v>
      </x:c>
      <x:c r="AD65" s="22" t="n">
        <x:f>IF(AA65="Yes",E65*K65*L65/144,0)</x:f>
        <x:v>0</x:v>
      </x:c>
      <x:c r="AE65" s="22" t="n">
        <x:f>IF(OR(K65="",L65=""),"",K65*L65/144)</x:f>
        <x:v>1</x:v>
      </x:c>
      <x:c r="AF65" s="23" t="str">
        <x:f>IF(LEFT(D65,8)="Required","REQ",IF(LEFT(D65,11)="Conditional","COND",IF(LEFT(D65,8)="Template","TEMPLATE","REF")))</x:f>
        <x:v>TEMPLATE</x:v>
      </x:c>
      <x:c r="AG65" s="23" t="str">
        <x:f>IF(OR(ISNUMBER(SEARCH("verify",V65)),ISNUMBER(SEARCH("allowance",V65))),"REVIEW","")</x:f>
        <x:v>REVIEW</x:v>
      </x:c>
    </x:row>
    <x:row r="66" ht="64" customHeight="1">
      <x:c r="A66" s="17" t="inlineStr">
        <x:is>
          <x:t xml:space="preserve">B-U-WD01..03</x:t>
        </x:is>
      </x:c>
      <x:c r="B66" s="17" t="inlineStr">
        <x:is>
          <x:t xml:space="preserve">Utility template</x:t>
        </x:is>
      </x:c>
      <x:c r="C66" s="17" t="inlineStr">
        <x:is>
          <x:t xml:space="preserve">East utility spine</x:t>
        </x:is>
      </x:c>
      <x:c r="D66" s="17" t="inlineStr">
        <x:is>
          <x:t xml:space="preserve">Template - create three separate branch points</x:t>
        </x:is>
      </x:c>
      <x:c r="E66" s="17" t="n">
        <x:v>3</x:v>
      </x:c>
      <x:c r="F66" s="17" t="inlineStr">
        <x:is>
          <x:t xml:space="preserve">WATER / DRAIN BRANCH POINT</x:t>
        </x:is>
      </x:c>
      <x:c r="G66" s="18" t="inlineStr">
        <x:is>
          <x:t xml:space="preserve">Branch point candidate</x:t>
        </x:is>
      </x:c>
      <x:c r="H66" s="19" t="n"/>
      <x:c r="I66" s="19" t="n"/>
      <x:c r="J66" s="19" t="n"/>
      <x:c r="K66" s="20" t="n">
        <x:v>12</x:v>
      </x:c>
      <x:c r="L66" s="20" t="n">
        <x:v>12</x:v>
      </x:c>
      <x:c r="M66" s="20" t="n">
        <x:v>12</x:v>
      </x:c>
      <x:c r="N66" s="20" t="n">
        <x:v>12</x:v>
      </x:c>
      <x:c r="O66" s="17" t="inlineStr">
        <x:is>
          <x:t xml:space="preserve"/>
        </x:is>
      </x:c>
      <x:c r="P66" s="17" t="inlineStr">
        <x:is>
          <x:t xml:space="preserve">Wash station, FIWE and Soxhlet condenser/recovery support</x:t>
        </x:is>
      </x:c>
      <x:c r="Q66" s="18" t="inlineStr">
        <x:is>
          <x:t xml:space="preserve"/>
        </x:is>
      </x:c>
      <x:c r="R66" s="18" t="inlineStr">
        <x:is>
          <x:t xml:space="preserve">Exact supply, return, vent, trap and waste compatibility field/MEP verify</x:t>
        </x:is>
      </x:c>
      <x:c r="S66" s="18" t="inlineStr">
        <x:is>
          <x:t xml:space="preserve"/>
        </x:is>
      </x:c>
      <x:c r="T66" s="18" t="inlineStr">
        <x:is>
          <x:t xml:space="preserve"/>
        </x:is>
      </x:c>
      <x:c r="U66" s="17" t="inlineStr">
        <x:is>
          <x:t xml:space="preserve">Branch from east-side rough-in; minimize long drain runs</x:t>
        </x:is>
      </x:c>
      <x:c r="V66" s="17" t="inlineStr">
        <x:is>
          <x:t xml:space="preserve">Planning assumption - field/MEP verify</x:t>
        </x:is>
      </x:c>
      <x:c r="W66" s="18" t="inlineStr">
        <x:is>
          <x:t xml:space="preserve">AIT user direction</x:t>
        </x:is>
      </x:c>
      <x:c r="X66" s="18" t="inlineStr">
        <x:is>
          <x:t xml:space="preserve"/>
        </x:is>
      </x:c>
      <x:c r="Y66" s="17" t="inlineStr">
        <x:is>
          <x:t xml:space="preserve">Create three individually movable symbols. Do not imply an approved drain path.</x:t>
        </x:is>
      </x:c>
      <x:c r="Z66" s="17" t="inlineStr">
        <x:is>
          <x:t xml:space="preserve">SCENARIO B - UTILITIES</x:t>
        </x:is>
      </x:c>
      <x:c r="AA66" s="17" t="inlineStr">
        <x:is>
          <x:t xml:space="preserve">No</x:t>
        </x:is>
      </x:c>
      <x:c r="AB66" s="22" t="str">
        <x:f>IF(OR(H66="",I66=""),"",H66*I66/144)</x:f>
      </x:c>
      <x:c r="AC66" s="22" t="n">
        <x:f>IF(OR(M66="",N66=""),"",M66*N66/144)</x:f>
        <x:v>1</x:v>
      </x:c>
      <x:c r="AD66" s="22" t="n">
        <x:f>IF(AA66="Yes",E66*K66*L66/144,0)</x:f>
        <x:v>0</x:v>
      </x:c>
      <x:c r="AE66" s="22" t="n">
        <x:f>IF(OR(K66="",L66=""),"",K66*L66/144)</x:f>
        <x:v>1</x:v>
      </x:c>
      <x:c r="AF66" s="23" t="str">
        <x:f>IF(LEFT(D66,8)="Required","REQ",IF(LEFT(D66,11)="Conditional","COND",IF(LEFT(D66,8)="Template","TEMPLATE","REF")))</x:f>
        <x:v>TEMPLATE</x:v>
      </x:c>
      <x:c r="AG66" s="23" t="str">
        <x:f>IF(OR(ISNUMBER(SEARCH("verify",V66)),ISNUMBER(SEARCH("allowance",V66))),"REVIEW","")</x:f>
        <x:v>REVIEW</x:v>
      </x:c>
    </x:row>
    <x:row r="67" ht="64" customHeight="1">
      <x:c r="A67" s="17" t="inlineStr">
        <x:is>
          <x:t xml:space="preserve">B-U-GAS01</x:t>
        </x:is>
      </x:c>
      <x:c r="B67" s="17" t="inlineStr">
        <x:is>
          <x:t xml:space="preserve">Utility symbol</x:t>
        </x:is>
      </x:c>
      <x:c r="C67" s="17" t="inlineStr">
        <x:is>
          <x:t xml:space="preserve">Clean instrument</x:t>
        </x:is>
      </x:c>
      <x:c r="D67" s="17" t="inlineStr">
        <x:is>
          <x:t xml:space="preserve">Required planning symbol</x:t>
        </x:is>
      </x:c>
      <x:c r="E67" s="17" t="n">
        <x:v>1</x:v>
      </x:c>
      <x:c r="F67" s="17" t="inlineStr">
        <x:is>
          <x:t xml:space="preserve">LECO OXYGEN / CARRIER GAS POINT</x:t>
        </x:is>
      </x:c>
      <x:c r="G67" s="18" t="inlineStr">
        <x:is>
          <x:t xml:space="preserve">Gas manifold/drop candidate</x:t>
        </x:is>
      </x:c>
      <x:c r="H67" s="19" t="n"/>
      <x:c r="I67" s="19" t="n"/>
      <x:c r="J67" s="19" t="n"/>
      <x:c r="K67" s="20" t="n">
        <x:v>18</x:v>
      </x:c>
      <x:c r="L67" s="20" t="n">
        <x:v>12</x:v>
      </x:c>
      <x:c r="M67" s="20" t="n">
        <x:v>18</x:v>
      </x:c>
      <x:c r="N67" s="20" t="n">
        <x:v>12</x:v>
      </x:c>
      <x:c r="O67" s="17" t="inlineStr">
        <x:is>
          <x:t xml:space="preserve">B-EQ-PROT01</x:t>
        </x:is>
      </x:c>
      <x:c r="P67" s="17" t="inlineStr">
        <x:is>
          <x:t xml:space="preserve">LECO configured gas service</x:t>
        </x:is>
      </x:c>
      <x:c r="Q67" s="18" t="inlineStr">
        <x:is>
          <x:t xml:space="preserve"/>
        </x:is>
      </x:c>
      <x:c r="R67" s="18" t="inlineStr">
        <x:is>
          <x:t xml:space="preserve"/>
        </x:is>
      </x:c>
      <x:c r="S67" s="18" t="inlineStr">
        <x:is>
          <x:t xml:space="preserve">Exact gases, pressures and cylinder/generator location per LECO pre-install guide</x:t>
        </x:is>
      </x:c>
      <x:c r="T67" s="18" t="inlineStr">
        <x:is>
          <x:t xml:space="preserve"/>
        </x:is>
      </x:c>
      <x:c r="U67" s="17" t="inlineStr">
        <x:is>
          <x:t xml:space="preserve">Near LECO with protected routing</x:t>
        </x:is>
      </x:c>
      <x:c r="V67" s="17" t="inlineStr">
        <x:is>
          <x:t xml:space="preserve">OEM/MEP/EHS verify</x:t>
        </x:is>
      </x:c>
      <x:c r="W67" s="18" t="inlineStr">
        <x:is>
          <x:t xml:space="preserve">Scenario B site requirements</x:t>
        </x:is>
      </x:c>
      <x:c r="X67" s="18" t="inlineStr">
        <x:is>
          <x:t xml:space="preserve"/>
        </x:is>
      </x:c>
      <x:c r="Y67" s="17" t="inlineStr">
        <x:is>
          <x:t xml:space="preserve">Do not show final cylinder anchoring or manifold design without EHS/MEP review.</x:t>
        </x:is>
      </x:c>
      <x:c r="Z67" s="17" t="inlineStr">
        <x:is>
          <x:t xml:space="preserve">SCENARIO B - UTILITIES</x:t>
        </x:is>
      </x:c>
      <x:c r="AA67" s="17" t="inlineStr">
        <x:is>
          <x:t xml:space="preserve">No</x:t>
        </x:is>
      </x:c>
      <x:c r="AB67" s="22" t="str">
        <x:f>IF(OR(H67="",I67=""),"",H67*I67/144)</x:f>
      </x:c>
      <x:c r="AC67" s="22" t="n">
        <x:f>IF(OR(M67="",N67=""),"",M67*N67/144)</x:f>
        <x:v>1.5</x:v>
      </x:c>
      <x:c r="AD67" s="22" t="n">
        <x:f>IF(AA67="Yes",E67*K67*L67/144,0)</x:f>
        <x:v>0</x:v>
      </x:c>
      <x:c r="AE67" s="22" t="n">
        <x:f>IF(OR(K67="",L67=""),"",K67*L67/144)</x:f>
        <x:v>1.5</x:v>
      </x:c>
      <x:c r="AF67" s="23" t="str">
        <x:f>IF(LEFT(D67,8)="Required","REQ",IF(LEFT(D67,11)="Conditional","COND",IF(LEFT(D67,8)="Template","TEMPLATE","REF")))</x:f>
        <x:v>REQ</x:v>
      </x:c>
      <x:c r="AG67" s="23" t="str">
        <x:f>IF(OR(ISNUMBER(SEARCH("verify",V67)),ISNUMBER(SEARCH("allowance",V67))),"REVIEW","")</x:f>
        <x:v>REVIEW</x:v>
      </x:c>
    </x:row>
    <x:row r="68" ht="64" customHeight="1">
      <x:c r="A68" s="17" t="inlineStr">
        <x:is>
          <x:t xml:space="preserve">B-U-GAS02</x:t>
        </x:is>
      </x:c>
      <x:c r="B68" s="17" t="inlineStr">
        <x:is>
          <x:t xml:space="preserve">Utility symbol</x:t>
        </x:is>
      </x:c>
      <x:c r="C68" s="17" t="inlineStr">
        <x:is>
          <x:t xml:space="preserve">Wet chemistry / acid prep</x:t>
        </x:is>
      </x:c>
      <x:c r="D68" s="17" t="inlineStr">
        <x:is>
          <x:t xml:space="preserve">Required planning symbol</x:t>
        </x:is>
      </x:c>
      <x:c r="E68" s="17" t="n">
        <x:v>1</x:v>
      </x:c>
      <x:c r="F68" s="17" t="inlineStr">
        <x:is>
          <x:t xml:space="preserve">AA-PREP NITROGEN POINT</x:t>
        </x:is>
      </x:c>
      <x:c r="G68" s="18" t="inlineStr">
        <x:is>
          <x:t xml:space="preserve">Nitrogen drop/manifold candidate</x:t>
        </x:is>
      </x:c>
      <x:c r="H68" s="19" t="n"/>
      <x:c r="I68" s="19" t="n"/>
      <x:c r="J68" s="19" t="n"/>
      <x:c r="K68" s="20" t="n">
        <x:v>18</x:v>
      </x:c>
      <x:c r="L68" s="20" t="n">
        <x:v>12</x:v>
      </x:c>
      <x:c r="M68" s="20" t="n">
        <x:v>18</x:v>
      </x:c>
      <x:c r="N68" s="20" t="n">
        <x:v>12</x:v>
      </x:c>
      <x:c r="O68" s="17" t="inlineStr">
        <x:is>
          <x:t xml:space="preserve">B-EQ-AAPREP01</x:t>
        </x:is>
      </x:c>
      <x:c r="P68" s="17" t="inlineStr">
        <x:is>
          <x:t xml:space="preserve">Nitrogen evaporator</x:t>
        </x:is>
      </x:c>
      <x:c r="Q68" s="18" t="inlineStr">
        <x:is>
          <x:t xml:space="preserve"/>
        </x:is>
      </x:c>
      <x:c r="R68" s="18" t="inlineStr">
        <x:is>
          <x:t xml:space="preserve"/>
        </x:is>
      </x:c>
      <x:c r="S68" s="18" t="inlineStr">
        <x:is>
          <x:t xml:space="preserve">Flow/pressure and source per selected evaporator</x:t>
        </x:is>
      </x:c>
      <x:c r="T68" s="18" t="inlineStr">
        <x:is>
          <x:t xml:space="preserve"/>
        </x:is>
      </x:c>
      <x:c r="U68" s="17" t="inlineStr">
        <x:is>
          <x:t xml:space="preserve">At AA prep hood</x:t>
        </x:is>
      </x:c>
      <x:c r="V68" s="17" t="inlineStr">
        <x:is>
          <x:t xml:space="preserve">OEM/MEP/EHS verify</x:t>
        </x:is>
      </x:c>
      <x:c r="W68" s="18" t="inlineStr">
        <x:is>
          <x:t xml:space="preserve">Scenario B site requirements</x:t>
        </x:is>
      </x:c>
      <x:c r="X68" s="18" t="inlineStr">
        <x:is>
          <x:t xml:space="preserve"/>
        </x:is>
      </x:c>
      <x:c r="Y68" s="17" t="inlineStr">
        <x:is>
          <x:t xml:space="preserve">Keep independent from the LECO gas symbol.</x:t>
        </x:is>
      </x:c>
      <x:c r="Z68" s="17" t="inlineStr">
        <x:is>
          <x:t xml:space="preserve">SCENARIO B - UTILITIES</x:t>
        </x:is>
      </x:c>
      <x:c r="AA68" s="17" t="inlineStr">
        <x:is>
          <x:t xml:space="preserve">No</x:t>
        </x:is>
      </x:c>
      <x:c r="AB68" s="22" t="str">
        <x:f>IF(OR(H68="",I68=""),"",H68*I68/144)</x:f>
      </x:c>
      <x:c r="AC68" s="22" t="n">
        <x:f>IF(OR(M68="",N68=""),"",M68*N68/144)</x:f>
        <x:v>1.5</x:v>
      </x:c>
      <x:c r="AD68" s="22" t="n">
        <x:f>IF(AA68="Yes",E68*K68*L68/144,0)</x:f>
        <x:v>0</x:v>
      </x:c>
      <x:c r="AE68" s="22" t="n">
        <x:f>IF(OR(K68="",L68=""),"",K68*L68/144)</x:f>
        <x:v>1.5</x:v>
      </x:c>
      <x:c r="AF68" s="23" t="str">
        <x:f>IF(LEFT(D68,8)="Required","REQ",IF(LEFT(D68,11)="Conditional","COND",IF(LEFT(D68,8)="Template","TEMPLATE","REF")))</x:f>
        <x:v>REQ</x:v>
      </x:c>
      <x:c r="AG68" s="23" t="str">
        <x:f>IF(OR(ISNUMBER(SEARCH("verify",V68)),ISNUMBER(SEARCH("allowance",V68))),"REVIEW","")</x:f>
        <x:v>REVIEW</x:v>
      </x:c>
    </x:row>
    <x:row r="69" ht="64" customHeight="1">
      <x:c r="A69" s="17" t="inlineStr">
        <x:is>
          <x:t xml:space="preserve">B-U-EXH01</x:t>
        </x:is>
      </x:c>
      <x:c r="B69" s="17" t="inlineStr">
        <x:is>
          <x:t xml:space="preserve">Utility symbol</x:t>
        </x:is>
      </x:c>
      <x:c r="C69" s="17" t="inlineStr">
        <x:is>
          <x:t xml:space="preserve">Distributed</x:t>
        </x:is>
      </x:c>
      <x:c r="D69" s="17" t="inlineStr">
        <x:is>
          <x:t xml:space="preserve">Required planning symbol</x:t>
        </x:is>
      </x:c>
      <x:c r="E69" s="17" t="n">
        <x:v>1</x:v>
      </x:c>
      <x:c r="F69" s="17" t="inlineStr">
        <x:is>
          <x:t xml:space="preserve">LECO COMBUSTION EXHAUST POINT</x:t>
        </x:is>
      </x:c>
      <x:c r="G69" s="18" t="inlineStr">
        <x:is>
          <x:t xml:space="preserve">Exhaust connection candidate</x:t>
        </x:is>
      </x:c>
      <x:c r="H69" s="19" t="n"/>
      <x:c r="I69" s="19" t="n"/>
      <x:c r="J69" s="19" t="n"/>
      <x:c r="K69" s="20" t="n">
        <x:v>18</x:v>
      </x:c>
      <x:c r="L69" s="20" t="n">
        <x:v>12</x:v>
      </x:c>
      <x:c r="M69" s="20" t="n">
        <x:v>18</x:v>
      </x:c>
      <x:c r="N69" s="20" t="n">
        <x:v>12</x:v>
      </x:c>
      <x:c r="O69" s="17" t="inlineStr">
        <x:is>
          <x:t xml:space="preserve">B-EQ-PROT01</x:t>
        </x:is>
      </x:c>
      <x:c r="P69" s="17" t="inlineStr">
        <x:is>
          <x:t xml:space="preserve">Dedicated exhaust planning point</x:t>
        </x:is>
      </x:c>
      <x:c r="Q69" s="18" t="inlineStr">
        <x:is>
          <x:t xml:space="preserve"/>
        </x:is>
      </x:c>
      <x:c r="R69" s="18" t="inlineStr">
        <x:is>
          <x:t xml:space="preserve"/>
        </x:is>
      </x:c>
      <x:c r="S69" s="18" t="inlineStr">
        <x:is>
          <x:t xml:space="preserve"/>
        </x:is>
      </x:c>
      <x:c r="T69" s="18" t="inlineStr">
        <x:is>
          <x:t xml:space="preserve">Flow, duct, interlock and discharge location by OEM/MEP</x:t>
        </x:is>
      </x:c>
      <x:c r="U69" s="17" t="inlineStr">
        <x:is>
          <x:t xml:space="preserve">Adjacent to associated equipment/fixture</x:t>
        </x:is>
      </x:c>
      <x:c r="V69" s="17" t="inlineStr">
        <x:is>
          <x:t xml:space="preserve">OEM/MEP verify</x:t>
        </x:is>
      </x:c>
      <x:c r="W69" s="18" t="inlineStr">
        <x:is>
          <x:t xml:space="preserve">Scenario B site requirements</x:t>
        </x:is>
      </x:c>
      <x:c r="X69" s="18" t="inlineStr">
        <x:is>
          <x:t xml:space="preserve"/>
        </x:is>
      </x:c>
      <x:c r="Y69" s="17" t="inlineStr">
        <x:is>
          <x:t xml:space="preserve">Symbol only; no duct sizing or route approval is implied.</x:t>
        </x:is>
      </x:c>
      <x:c r="Z69" s="17" t="inlineStr">
        <x:is>
          <x:t xml:space="preserve">SCENARIO B - UTILITIES</x:t>
        </x:is>
      </x:c>
      <x:c r="AA69" s="17" t="inlineStr">
        <x:is>
          <x:t xml:space="preserve">No</x:t>
        </x:is>
      </x:c>
      <x:c r="AB69" s="22" t="str">
        <x:f>IF(OR(H69="",I69=""),"",H69*I69/144)</x:f>
      </x:c>
      <x:c r="AC69" s="22" t="n">
        <x:f>IF(OR(M69="",N69=""),"",M69*N69/144)</x:f>
        <x:v>1.5</x:v>
      </x:c>
      <x:c r="AD69" s="22" t="n">
        <x:f>IF(AA69="Yes",E69*K69*L69/144,0)</x:f>
        <x:v>0</x:v>
      </x:c>
      <x:c r="AE69" s="22" t="n">
        <x:f>IF(OR(K69="",L69=""),"",K69*L69/144)</x:f>
        <x:v>1.5</x:v>
      </x:c>
      <x:c r="AF69" s="23" t="str">
        <x:f>IF(LEFT(D69,8)="Required","REQ",IF(LEFT(D69,11)="Conditional","COND",IF(LEFT(D69,8)="Template","TEMPLATE","REF")))</x:f>
        <x:v>REQ</x:v>
      </x:c>
      <x:c r="AG69" s="23" t="str">
        <x:f>IF(OR(ISNUMBER(SEARCH("verify",V69)),ISNUMBER(SEARCH("allowance",V69))),"REVIEW","")</x:f>
        <x:v>REVIEW</x:v>
      </x:c>
    </x:row>
    <x:row r="70" ht="64" customHeight="1">
      <x:c r="A70" s="17" t="inlineStr">
        <x:is>
          <x:t xml:space="preserve">B-U-EXH02</x:t>
        </x:is>
      </x:c>
      <x:c r="B70" s="17" t="inlineStr">
        <x:is>
          <x:t xml:space="preserve">Utility symbol</x:t>
        </x:is>
      </x:c>
      <x:c r="C70" s="17" t="inlineStr">
        <x:is>
          <x:t xml:space="preserve">Distributed</x:t>
        </x:is>
      </x:c>
      <x:c r="D70" s="17" t="inlineStr">
        <x:is>
          <x:t xml:space="preserve">Required planning symbol</x:t>
        </x:is>
      </x:c>
      <x:c r="E70" s="17" t="n">
        <x:v>1</x:v>
      </x:c>
      <x:c r="F70" s="17" t="inlineStr">
        <x:is>
          <x:t xml:space="preserve">SOXHLET HOOD EXHAUST POINT</x:t>
        </x:is>
      </x:c>
      <x:c r="G70" s="18" t="inlineStr">
        <x:is>
          <x:t xml:space="preserve">Exhaust connection candidate</x:t>
        </x:is>
      </x:c>
      <x:c r="H70" s="19" t="n"/>
      <x:c r="I70" s="19" t="n"/>
      <x:c r="J70" s="19" t="n"/>
      <x:c r="K70" s="20" t="n">
        <x:v>18</x:v>
      </x:c>
      <x:c r="L70" s="20" t="n">
        <x:v>12</x:v>
      </x:c>
      <x:c r="M70" s="20" t="n">
        <x:v>18</x:v>
      </x:c>
      <x:c r="N70" s="20" t="n">
        <x:v>12</x:v>
      </x:c>
      <x:c r="O70" s="17" t="inlineStr">
        <x:is>
          <x:t xml:space="preserve">B-HOOD-SOX01</x:t>
        </x:is>
      </x:c>
      <x:c r="P70" s="17" t="inlineStr">
        <x:is>
          <x:t xml:space="preserve">Dedicated exhaust planning point</x:t>
        </x:is>
      </x:c>
      <x:c r="Q70" s="18" t="inlineStr">
        <x:is>
          <x:t xml:space="preserve"/>
        </x:is>
      </x:c>
      <x:c r="R70" s="18" t="inlineStr">
        <x:is>
          <x:t xml:space="preserve"/>
        </x:is>
      </x:c>
      <x:c r="S70" s="18" t="inlineStr">
        <x:is>
          <x:t xml:space="preserve"/>
        </x:is>
      </x:c>
      <x:c r="T70" s="18" t="inlineStr">
        <x:is>
          <x:t xml:space="preserve">Flow, duct, interlock and discharge location by OEM/MEP</x:t>
        </x:is>
      </x:c>
      <x:c r="U70" s="17" t="inlineStr">
        <x:is>
          <x:t xml:space="preserve">Adjacent to associated equipment/fixture</x:t>
        </x:is>
      </x:c>
      <x:c r="V70" s="17" t="inlineStr">
        <x:is>
          <x:t xml:space="preserve">OEM/MEP verify</x:t>
        </x:is>
      </x:c>
      <x:c r="W70" s="18" t="inlineStr">
        <x:is>
          <x:t xml:space="preserve">Scenario B site requirements</x:t>
        </x:is>
      </x:c>
      <x:c r="X70" s="18" t="inlineStr">
        <x:is>
          <x:t xml:space="preserve"/>
        </x:is>
      </x:c>
      <x:c r="Y70" s="17" t="inlineStr">
        <x:is>
          <x:t xml:space="preserve">Symbol only; no duct sizing or route approval is implied.</x:t>
        </x:is>
      </x:c>
      <x:c r="Z70" s="17" t="inlineStr">
        <x:is>
          <x:t xml:space="preserve">SCENARIO B - UTILITIES</x:t>
        </x:is>
      </x:c>
      <x:c r="AA70" s="17" t="inlineStr">
        <x:is>
          <x:t xml:space="preserve">No</x:t>
        </x:is>
      </x:c>
      <x:c r="AB70" s="22" t="str">
        <x:f>IF(OR(H70="",I70=""),"",H70*I70/144)</x:f>
      </x:c>
      <x:c r="AC70" s="22" t="n">
        <x:f>IF(OR(M70="",N70=""),"",M70*N70/144)</x:f>
        <x:v>1.5</x:v>
      </x:c>
      <x:c r="AD70" s="22" t="n">
        <x:f>IF(AA70="Yes",E70*K70*L70/144,0)</x:f>
        <x:v>0</x:v>
      </x:c>
      <x:c r="AE70" s="22" t="n">
        <x:f>IF(OR(K70="",L70=""),"",K70*L70/144)</x:f>
        <x:v>1.5</x:v>
      </x:c>
      <x:c r="AF70" s="23" t="str">
        <x:f>IF(LEFT(D70,8)="Required","REQ",IF(LEFT(D70,11)="Conditional","COND",IF(LEFT(D70,8)="Template","TEMPLATE","REF")))</x:f>
        <x:v>REQ</x:v>
      </x:c>
      <x:c r="AG70" s="23" t="str">
        <x:f>IF(OR(ISNUMBER(SEARCH("verify",V70)),ISNUMBER(SEARCH("allowance",V70))),"REVIEW","")</x:f>
        <x:v>REVIEW</x:v>
      </x:c>
    </x:row>
    <x:row r="71" ht="64" customHeight="1">
      <x:c r="A71" s="17" t="inlineStr">
        <x:is>
          <x:t xml:space="preserve">B-U-EXH03</x:t>
        </x:is>
      </x:c>
      <x:c r="B71" s="17" t="inlineStr">
        <x:is>
          <x:t xml:space="preserve">Utility symbol</x:t>
        </x:is>
      </x:c>
      <x:c r="C71" s="17" t="inlineStr">
        <x:is>
          <x:t xml:space="preserve">Distributed</x:t>
        </x:is>
      </x:c>
      <x:c r="D71" s="17" t="inlineStr">
        <x:is>
          <x:t xml:space="preserve">Required planning symbol</x:t>
        </x:is>
      </x:c>
      <x:c r="E71" s="17" t="n">
        <x:v>1</x:v>
      </x:c>
      <x:c r="F71" s="17" t="inlineStr">
        <x:is>
          <x:t xml:space="preserve">ACID-PREP HOOD EXHAUST POINT</x:t>
        </x:is>
      </x:c>
      <x:c r="G71" s="18" t="inlineStr">
        <x:is>
          <x:t xml:space="preserve">Exhaust connection candidate</x:t>
        </x:is>
      </x:c>
      <x:c r="H71" s="19" t="n"/>
      <x:c r="I71" s="19" t="n"/>
      <x:c r="J71" s="19" t="n"/>
      <x:c r="K71" s="20" t="n">
        <x:v>18</x:v>
      </x:c>
      <x:c r="L71" s="20" t="n">
        <x:v>12</x:v>
      </x:c>
      <x:c r="M71" s="20" t="n">
        <x:v>18</x:v>
      </x:c>
      <x:c r="N71" s="20" t="n">
        <x:v>12</x:v>
      </x:c>
      <x:c r="O71" s="17" t="inlineStr">
        <x:is>
          <x:t xml:space="preserve">B-HOOD-AA01</x:t>
        </x:is>
      </x:c>
      <x:c r="P71" s="17" t="inlineStr">
        <x:is>
          <x:t xml:space="preserve">Dedicated exhaust planning point</x:t>
        </x:is>
      </x:c>
      <x:c r="Q71" s="18" t="inlineStr">
        <x:is>
          <x:t xml:space="preserve"/>
        </x:is>
      </x:c>
      <x:c r="R71" s="18" t="inlineStr">
        <x:is>
          <x:t xml:space="preserve"/>
        </x:is>
      </x:c>
      <x:c r="S71" s="18" t="inlineStr">
        <x:is>
          <x:t xml:space="preserve"/>
        </x:is>
      </x:c>
      <x:c r="T71" s="18" t="inlineStr">
        <x:is>
          <x:t xml:space="preserve">Flow, duct, interlock and discharge location by OEM/MEP</x:t>
        </x:is>
      </x:c>
      <x:c r="U71" s="17" t="inlineStr">
        <x:is>
          <x:t xml:space="preserve">Adjacent to associated equipment/fixture</x:t>
        </x:is>
      </x:c>
      <x:c r="V71" s="17" t="inlineStr">
        <x:is>
          <x:t xml:space="preserve">OEM/MEP verify</x:t>
        </x:is>
      </x:c>
      <x:c r="W71" s="18" t="inlineStr">
        <x:is>
          <x:t xml:space="preserve">Scenario B site requirements</x:t>
        </x:is>
      </x:c>
      <x:c r="X71" s="18" t="inlineStr">
        <x:is>
          <x:t xml:space="preserve"/>
        </x:is>
      </x:c>
      <x:c r="Y71" s="17" t="inlineStr">
        <x:is>
          <x:t xml:space="preserve">Symbol only; no duct sizing or route approval is implied.</x:t>
        </x:is>
      </x:c>
      <x:c r="Z71" s="17" t="inlineStr">
        <x:is>
          <x:t xml:space="preserve">SCENARIO B - UTILITIES</x:t>
        </x:is>
      </x:c>
      <x:c r="AA71" s="17" t="inlineStr">
        <x:is>
          <x:t xml:space="preserve">No</x:t>
        </x:is>
      </x:c>
      <x:c r="AB71" s="22" t="str">
        <x:f>IF(OR(H71="",I71=""),"",H71*I71/144)</x:f>
      </x:c>
      <x:c r="AC71" s="22" t="n">
        <x:f>IF(OR(M71="",N71=""),"",M71*N71/144)</x:f>
        <x:v>1.5</x:v>
      </x:c>
      <x:c r="AD71" s="22" t="n">
        <x:f>IF(AA71="Yes",E71*K71*L71/144,0)</x:f>
        <x:v>0</x:v>
      </x:c>
      <x:c r="AE71" s="22" t="n">
        <x:f>IF(OR(K71="",L71=""),"",K71*L71/144)</x:f>
        <x:v>1.5</x:v>
      </x:c>
      <x:c r="AF71" s="23" t="str">
        <x:f>IF(LEFT(D71,8)="Required","REQ",IF(LEFT(D71,11)="Conditional","COND",IF(LEFT(D71,8)="Template","TEMPLATE","REF")))</x:f>
        <x:v>REQ</x:v>
      </x:c>
      <x:c r="AG71" s="23" t="str">
        <x:f>IF(OR(ISNUMBER(SEARCH("verify",V71)),ISNUMBER(SEARCH("allowance",V71))),"REVIEW","")</x:f>
        <x:v>REVIEW</x:v>
      </x:c>
    </x:row>
    <x:row r="72" ht="64" customHeight="1">
      <x:c r="A72" s="17" t="inlineStr">
        <x:is>
          <x:t xml:space="preserve">B-U-EXH04</x:t>
        </x:is>
      </x:c>
      <x:c r="B72" s="17" t="inlineStr">
        <x:is>
          <x:t xml:space="preserve">Utility symbol</x:t>
        </x:is>
      </x:c>
      <x:c r="C72" s="17" t="inlineStr">
        <x:is>
          <x:t xml:space="preserve">Distributed</x:t>
        </x:is>
      </x:c>
      <x:c r="D72" s="17" t="inlineStr">
        <x:is>
          <x:t xml:space="preserve">Conditional - depends on final thermal location</x:t>
        </x:is>
      </x:c>
      <x:c r="E72" s="17" t="n">
        <x:v>1</x:v>
      </x:c>
      <x:c r="F72" s="17" t="inlineStr">
        <x:is>
          <x:t xml:space="preserve">THERMAL EXHAUST / CANOPY POINT</x:t>
        </x:is>
      </x:c>
      <x:c r="G72" s="18" t="inlineStr">
        <x:is>
          <x:t xml:space="preserve">Exhaust connection candidate</x:t>
        </x:is>
      </x:c>
      <x:c r="H72" s="19" t="n"/>
      <x:c r="I72" s="19" t="n"/>
      <x:c r="J72" s="19" t="n"/>
      <x:c r="K72" s="20" t="n">
        <x:v>18</x:v>
      </x:c>
      <x:c r="L72" s="20" t="n">
        <x:v>12</x:v>
      </x:c>
      <x:c r="M72" s="20" t="n">
        <x:v>18</x:v>
      </x:c>
      <x:c r="N72" s="20" t="n">
        <x:v>12</x:v>
      </x:c>
      <x:c r="O72" s="17" t="inlineStr">
        <x:is>
          <x:t xml:space="preserve">B-EQ-MOIST02A / B-EQ-MOIST02B</x:t>
        </x:is>
      </x:c>
      <x:c r="P72" s="17" t="inlineStr">
        <x:is>
          <x:t xml:space="preserve">Dedicated exhaust planning point</x:t>
        </x:is>
      </x:c>
      <x:c r="Q72" s="18" t="inlineStr">
        <x:is>
          <x:t xml:space="preserve"/>
        </x:is>
      </x:c>
      <x:c r="R72" s="18" t="inlineStr">
        <x:is>
          <x:t xml:space="preserve"/>
        </x:is>
      </x:c>
      <x:c r="S72" s="18" t="inlineStr">
        <x:is>
          <x:t xml:space="preserve"/>
        </x:is>
      </x:c>
      <x:c r="T72" s="18" t="inlineStr">
        <x:is>
          <x:t xml:space="preserve">Flow, duct, interlock and discharge location by OEM/MEP</x:t>
        </x:is>
      </x:c>
      <x:c r="U72" s="17" t="inlineStr">
        <x:is>
          <x:t xml:space="preserve">Adjacent to associated equipment/fixture</x:t>
        </x:is>
      </x:c>
      <x:c r="V72" s="17" t="inlineStr">
        <x:is>
          <x:t xml:space="preserve">OEM/MEP verify</x:t>
        </x:is>
      </x:c>
      <x:c r="W72" s="18" t="inlineStr">
        <x:is>
          <x:t xml:space="preserve">Scenario B site requirements</x:t>
        </x:is>
      </x:c>
      <x:c r="X72" s="18" t="inlineStr">
        <x:is>
          <x:t xml:space="preserve"/>
        </x:is>
      </x:c>
      <x:c r="Y72" s="17" t="inlineStr">
        <x:is>
          <x:t xml:space="preserve">Symbol only; no duct sizing or route approval is implied.</x:t>
        </x:is>
      </x:c>
      <x:c r="Z72" s="17" t="inlineStr">
        <x:is>
          <x:t xml:space="preserve">SCENARIO B - UTILITIES</x:t>
        </x:is>
      </x:c>
      <x:c r="AA72" s="17" t="inlineStr">
        <x:is>
          <x:t xml:space="preserve">No</x:t>
        </x:is>
      </x:c>
      <x:c r="AB72" s="22" t="str">
        <x:f>IF(OR(H72="",I72=""),"",H72*I72/144)</x:f>
      </x:c>
      <x:c r="AC72" s="22" t="n">
        <x:f>IF(OR(M72="",N72=""),"",M72*N72/144)</x:f>
        <x:v>1.5</x:v>
      </x:c>
      <x:c r="AD72" s="22" t="n">
        <x:f>IF(AA72="Yes",E72*K72*L72/144,0)</x:f>
        <x:v>0</x:v>
      </x:c>
      <x:c r="AE72" s="22" t="n">
        <x:f>IF(OR(K72="",L72=""),"",K72*L72/144)</x:f>
        <x:v>1.5</x:v>
      </x:c>
      <x:c r="AF72" s="23" t="str">
        <x:f>IF(LEFT(D72,8)="Required","REQ",IF(LEFT(D72,11)="Conditional","COND",IF(LEFT(D72,8)="Template","TEMPLATE","REF")))</x:f>
        <x:v>COND</x:v>
      </x:c>
      <x:c r="AG72" s="23" t="str">
        <x:f>IF(OR(ISNUMBER(SEARCH("verify",V72)),ISNUMBER(SEARCH("allowance",V72))),"REVIEW","")</x:f>
        <x:v>REVIEW</x:v>
      </x:c>
    </x:row>
    <x:row r="73" ht="64" customHeight="1">
      <x:c r="A73" s="17" t="inlineStr">
        <x:is>
          <x:t xml:space="preserve">B-U-UPS01</x:t>
        </x:is>
      </x:c>
      <x:c r="B73" s="17" t="inlineStr">
        <x:is>
          <x:t xml:space="preserve">Utility symbol</x:t>
        </x:is>
      </x:c>
      <x:c r="C73" s="17" t="inlineStr">
        <x:is>
          <x:t xml:space="preserve">Clean instrument</x:t>
        </x:is>
      </x:c>
      <x:c r="D73" s="17" t="inlineStr">
        <x:is>
          <x:t xml:space="preserve">Required planning symbol</x:t>
        </x:is>
      </x:c>
      <x:c r="E73" s="17" t="n">
        <x:v>1</x:v>
      </x:c>
      <x:c r="F73" s="17" t="inlineStr">
        <x:is>
          <x:t xml:space="preserve">SYKAM UPS</x:t>
        </x:is>
      </x:c>
      <x:c r="G73" s="18" t="inlineStr">
        <x:is>
          <x:t xml:space="preserve">UPS - load/runtime to select</x:t>
        </x:is>
      </x:c>
      <x:c r="H73" s="19" t="n"/>
      <x:c r="I73" s="19" t="n"/>
      <x:c r="J73" s="19" t="n"/>
      <x:c r="K73" s="20" t="n">
        <x:v>18</x:v>
      </x:c>
      <x:c r="L73" s="20" t="n">
        <x:v>12</x:v>
      </x:c>
      <x:c r="M73" s="20" t="n">
        <x:v>24</x:v>
      </x:c>
      <x:c r="N73" s="20" t="n">
        <x:v>18</x:v>
      </x:c>
      <x:c r="O73" s="17" t="inlineStr">
        <x:is>
          <x:t xml:space="preserve">B-EQ-AA02</x:t>
        </x:is>
      </x:c>
      <x:c r="P73" s="17" t="inlineStr">
        <x:is>
          <x:t xml:space="preserve">Sykam analyzer and workstation power protection</x:t>
        </x:is>
      </x:c>
      <x:c r="Q73" s="18" t="inlineStr">
        <x:is>
          <x:t xml:space="preserve">Size after final module/PC loads</x:t>
        </x:is>
      </x:c>
      <x:c r="R73" s="18" t="inlineStr">
        <x:is>
          <x:t xml:space="preserve"/>
        </x:is>
      </x:c>
      <x:c r="S73" s="18" t="inlineStr">
        <x:is>
          <x:t xml:space="preserve"/>
        </x:is>
      </x:c>
      <x:c r="T73" s="18" t="inlineStr">
        <x:is>
          <x:t xml:space="preserve"/>
        </x:is>
      </x:c>
      <x:c r="U73" s="17" t="inlineStr">
        <x:is>
          <x:t xml:space="preserve">Near Sykam without blocking service</x:t>
        </x:is>
      </x:c>
      <x:c r="V73" s="17" t="inlineStr">
        <x:is>
          <x:t xml:space="preserve">OEM/IT/MEP verify</x:t>
        </x:is>
      </x:c>
      <x:c r="W73" s="18" t="inlineStr">
        <x:is>
          <x:t xml:space="preserve">Scenario B site requirements</x:t>
        </x:is>
      </x:c>
      <x:c r="X73" s="18" t="inlineStr">
        <x:is>
          <x:t xml:space="preserve"/>
        </x:is>
      </x:c>
      <x:c r="Y73" s="17" t="inlineStr">
        <x:is>
          <x:t xml:space="preserve">Top-view block is provisional.</x:t>
        </x:is>
      </x:c>
      <x:c r="Z73" s="17" t="inlineStr">
        <x:is>
          <x:t xml:space="preserve">SCENARIO B - UTILITIES</x:t>
        </x:is>
      </x:c>
      <x:c r="AA73" s="17" t="inlineStr">
        <x:is>
          <x:t xml:space="preserve">No</x:t>
        </x:is>
      </x:c>
      <x:c r="AB73" s="22" t="str">
        <x:f>IF(OR(H73="",I73=""),"",H73*I73/144)</x:f>
      </x:c>
      <x:c r="AC73" s="22" t="n">
        <x:f>IF(OR(M73="",N73=""),"",M73*N73/144)</x:f>
        <x:v>3</x:v>
      </x:c>
      <x:c r="AD73" s="22" t="n">
        <x:f>IF(AA73="Yes",E73*K73*L73/144,0)</x:f>
        <x:v>0</x:v>
      </x:c>
      <x:c r="AE73" s="22" t="n">
        <x:f>IF(OR(K73="",L73=""),"",K73*L73/144)</x:f>
        <x:v>1.5</x:v>
      </x:c>
      <x:c r="AF73" s="23" t="str">
        <x:f>IF(LEFT(D73,8)="Required","REQ",IF(LEFT(D73,11)="Conditional","COND",IF(LEFT(D73,8)="Template","TEMPLATE","REF")))</x:f>
        <x:v>REQ</x:v>
      </x:c>
      <x:c r="AG73" s="23" t="str">
        <x:f>IF(OR(ISNUMBER(SEARCH("verify",V73)),ISNUMBER(SEARCH("allowance",V73))),"REVIEW","")</x:f>
        <x:v>REVIEW</x:v>
      </x:c>
    </x:row>
    <x:row r="74" ht="64" customHeight="1">
      <x:c r="A74" s="17" t="inlineStr">
        <x:is>
          <x:t xml:space="preserve">B-U-UPS02</x:t>
        </x:is>
      </x:c>
      <x:c r="B74" s="17" t="inlineStr">
        <x:is>
          <x:t xml:space="preserve">Utility symbol</x:t>
        </x:is>
      </x:c>
      <x:c r="C74" s="17" t="inlineStr">
        <x:is>
          <x:t xml:space="preserve">Clean instrument</x:t>
        </x:is>
      </x:c>
      <x:c r="D74" s="17" t="inlineStr">
        <x:is>
          <x:t xml:space="preserve">Conditional - add if LECO/IT requires</x:t>
        </x:is>
      </x:c>
      <x:c r="E74" s="17" t="n">
        <x:v>1</x:v>
      </x:c>
      <x:c r="F74" s="17" t="inlineStr">
        <x:is>
          <x:t xml:space="preserve">LECO / PC UPS</x:t>
        </x:is>
      </x:c>
      <x:c r="G74" s="18" t="inlineStr">
        <x:is>
          <x:t xml:space="preserve">UPS - load/runtime to select</x:t>
        </x:is>
      </x:c>
      <x:c r="H74" s="19" t="n"/>
      <x:c r="I74" s="19" t="n"/>
      <x:c r="J74" s="19" t="n"/>
      <x:c r="K74" s="20" t="n">
        <x:v>18</x:v>
      </x:c>
      <x:c r="L74" s="20" t="n">
        <x:v>12</x:v>
      </x:c>
      <x:c r="M74" s="20" t="n">
        <x:v>24</x:v>
      </x:c>
      <x:c r="N74" s="20" t="n">
        <x:v>18</x:v>
      </x:c>
      <x:c r="O74" s="17" t="inlineStr">
        <x:is>
          <x:t xml:space="preserve">B-EQ-PROT01</x:t>
        </x:is>
      </x:c>
      <x:c r="P74" s="17" t="inlineStr">
        <x:is>
          <x:t xml:space="preserve">LECO PC/data power protection</x:t>
        </x:is>
      </x:c>
      <x:c r="Q74" s="18" t="inlineStr">
        <x:is>
          <x:t xml:space="preserve">Confirm LECO and IT requirements</x:t>
        </x:is>
      </x:c>
      <x:c r="R74" s="18" t="inlineStr">
        <x:is>
          <x:t xml:space="preserve"/>
        </x:is>
      </x:c>
      <x:c r="S74" s="18" t="inlineStr">
        <x:is>
          <x:t xml:space="preserve"/>
        </x:is>
      </x:c>
      <x:c r="T74" s="18" t="inlineStr">
        <x:is>
          <x:t xml:space="preserve"/>
        </x:is>
      </x:c>
      <x:c r="U74" s="17" t="inlineStr">
        <x:is>
          <x:t xml:space="preserve">Near LECO/PC</x:t>
        </x:is>
      </x:c>
      <x:c r="V74" s="17" t="inlineStr">
        <x:is>
          <x:t xml:space="preserve">OEM/IT/MEP verify</x:t>
        </x:is>
      </x:c>
      <x:c r="W74" s="18" t="inlineStr">
        <x:is>
          <x:t xml:space="preserve">Planning assumption</x:t>
        </x:is>
      </x:c>
      <x:c r="X74" s="18" t="inlineStr">
        <x:is>
          <x:t xml:space="preserve"/>
        </x:is>
      </x:c>
      <x:c r="Y74" s="17" t="inlineStr">
        <x:is>
          <x:t xml:space="preserve">Do not include unless LECO/IT confirms need.</x:t>
        </x:is>
      </x:c>
      <x:c r="Z74" s="17" t="inlineStr">
        <x:is>
          <x:t xml:space="preserve">SCENARIO B - UTILITIES</x:t>
        </x:is>
      </x:c>
      <x:c r="AA74" s="17" t="inlineStr">
        <x:is>
          <x:t xml:space="preserve">No</x:t>
        </x:is>
      </x:c>
      <x:c r="AB74" s="22" t="str">
        <x:f>IF(OR(H74="",I74=""),"",H74*I74/144)</x:f>
      </x:c>
      <x:c r="AC74" s="22" t="n">
        <x:f>IF(OR(M74="",N74=""),"",M74*N74/144)</x:f>
        <x:v>3</x:v>
      </x:c>
      <x:c r="AD74" s="22" t="n">
        <x:f>IF(AA74="Yes",E74*K74*L74/144,0)</x:f>
        <x:v>0</x:v>
      </x:c>
      <x:c r="AE74" s="22" t="n">
        <x:f>IF(OR(K74="",L74=""),"",K74*L74/144)</x:f>
        <x:v>1.5</x:v>
      </x:c>
      <x:c r="AF74" s="23" t="str">
        <x:f>IF(LEFT(D74,8)="Required","REQ",IF(LEFT(D74,11)="Conditional","COND",IF(LEFT(D74,8)="Template","TEMPLATE","REF")))</x:f>
        <x:v>COND</x:v>
      </x:c>
      <x:c r="AG74" s="23" t="str">
        <x:f>IF(OR(ISNUMBER(SEARCH("verify",V74)),ISNUMBER(SEARCH("allowance",V74))),"REVIEW","")</x:f>
        <x:v>REVIEW</x:v>
      </x:c>
    </x:row>
    <x:row r="75" ht="64" customHeight="1">
      <x:c r="A75" s="17" t="inlineStr">
        <x:is>
          <x:t xml:space="preserve">B-REF-HANDOFF01</x:t>
        </x:is>
      </x:c>
      <x:c r="B75" s="17" t="inlineStr">
        <x:is>
          <x:t xml:space="preserve">Reference symbol</x:t>
        </x:is>
      </x:c>
      <x:c r="C75" s="17" t="inlineStr">
        <x:is>
          <x:t xml:space="preserve">Room interface</x:t>
        </x:is>
      </x:c>
      <x:c r="D75" s="17" t="inlineStr">
        <x:is>
          <x:t xml:space="preserve">Reference only - no equipment block in Room 114</x:t>
        </x:is>
      </x:c>
      <x:c r="E75" s="17" t="n">
        <x:v>1</x:v>
      </x:c>
      <x:c r="F75" s="17" t="inlineStr">
        <x:is>
          <x:t xml:space="preserve">ALIQUOT HANDOFF TO EXISTING LCMS / ICP-OES / MULTIWAVE</x:t>
        </x:is>
      </x:c>
      <x:c r="G75" s="18" t="inlineStr">
        <x:is>
          <x:t xml:space="preserve">Workflow arrow/callout only</x:t>
        </x:is>
      </x:c>
      <x:c r="H75" s="19" t="n"/>
      <x:c r="I75" s="19" t="n"/>
      <x:c r="J75" s="19" t="n"/>
      <x:c r="K75" s="20" t="n">
        <x:v>24</x:v>
      </x:c>
      <x:c r="L75" s="20" t="n">
        <x:v>12</x:v>
      </x:c>
      <x:c r="M75" s="20" t="n">
        <x:v>24</x:v>
      </x:c>
      <x:c r="N75" s="20" t="n">
        <x:v>12</x:v>
      </x:c>
      <x:c r="O75" s="17" t="inlineStr">
        <x:is>
          <x:t xml:space="preserve"/>
        </x:is>
      </x:c>
      <x:c r="P75" s="17" t="inlineStr">
        <x:is>
          <x:t xml:space="preserve">Routes prepared aliquots to existing controlled Prep Lab/Lab</x:t>
        </x:is>
      </x:c>
      <x:c r="Q75" s="18" t="inlineStr">
        <x:is>
          <x:t xml:space="preserve"/>
        </x:is>
      </x:c>
      <x:c r="R75" s="18" t="inlineStr">
        <x:is>
          <x:t xml:space="preserve"/>
        </x:is>
      </x:c>
      <x:c r="S75" s="18" t="inlineStr">
        <x:is>
          <x:t xml:space="preserve"/>
        </x:is>
      </x:c>
      <x:c r="T75" s="18" t="inlineStr">
        <x:is>
          <x:t xml:space="preserve"/>
        </x:is>
      </x:c>
      <x:c r="U75" s="17" t="inlineStr">
        <x:is>
          <x:t xml:space="preserve">At the appropriate Room 114 interface; no sample receiving station</x:t>
        </x:is>
      </x:c>
      <x:c r="V75" s="17" t="inlineStr">
        <x:is>
          <x:t xml:space="preserve">Project constraint</x:t>
        </x:is>
      </x:c>
      <x:c r="W75" s="18" t="inlineStr">
        <x:is>
          <x:t xml:space="preserve">Scenario B workbook and AIT direction</x:t>
        </x:is>
      </x:c>
      <x:c r="X75" s="18" t="inlineStr">
        <x:is>
          <x:t xml:space="preserve"/>
        </x:is>
      </x:c>
      <x:c r="Y75" s="17" t="inlineStr">
        <x:is>
          <x:t xml:space="preserve">Do not place the existing LCMS-8040RX, ICP-OES or Multiwave 5000 as equipment inside Room 114.</x:t>
        </x:is>
      </x:c>
      <x:c r="Z75" s="17" t="inlineStr">
        <x:is>
          <x:t xml:space="preserve">SCENARIO B - UTILITIES</x:t>
        </x:is>
      </x:c>
      <x:c r="AA75" s="17" t="inlineStr">
        <x:is>
          <x:t xml:space="preserve">No</x:t>
        </x:is>
      </x:c>
      <x:c r="AB75" s="22" t="str">
        <x:f>IF(OR(H75="",I75=""),"",H75*I75/144)</x:f>
      </x:c>
      <x:c r="AC75" s="22" t="n">
        <x:f>IF(OR(M75="",N75=""),"",M75*N75/144)</x:f>
        <x:v>2</x:v>
      </x:c>
      <x:c r="AD75" s="22" t="n">
        <x:f>IF(AA75="Yes",E75*K75*L75/144,0)</x:f>
        <x:v>0</x:v>
      </x:c>
      <x:c r="AE75" s="22" t="n">
        <x:f>IF(OR(K75="",L75=""),"",K75*L75/144)</x:f>
        <x:v>2</x:v>
      </x:c>
      <x:c r="AF75" s="23" t="str">
        <x:f>IF(LEFT(D75,8)="Required","REQ",IF(LEFT(D75,11)="Conditional","COND",IF(LEFT(D75,8)="Template","TEMPLATE","REF")))</x:f>
        <x:v>REF</x:v>
      </x:c>
      <x:c r="AG75" s="23" t="str">
        <x:f>IF(OR(ISNUMBER(SEARCH("verify",V75)),ISNUMBER(SEARCH("allowance",V75))),"REVIEW","")</x:f>
      </x:c>
    </x:row>
    <x:row r="76" ht="64" customHeight="1">
      <x:c r="A76" s="17" t="inlineStr">
        <x:is>
          <x:t xml:space="preserve">B-CLR-PRIMARY</x:t>
        </x:is>
      </x:c>
      <x:c r="B76" s="17" t="inlineStr">
        <x:is>
          <x:t xml:space="preserve">Clearance template</x:t>
        </x:is>
      </x:c>
      <x:c r="C76" s="17" t="inlineStr">
        <x:is>
          <x:t xml:space="preserve">Distributed</x:t>
        </x:is>
      </x:c>
      <x:c r="D76" s="17" t="inlineStr">
        <x:is>
          <x:t xml:space="preserve">Template - duplicate/extend as needed</x:t>
        </x:is>
      </x:c>
      <x:c r="E76" s="17" t="n">
        <x:v>1</x:v>
      </x:c>
      <x:c r="F76" s="17" t="inlineStr">
        <x:is>
          <x:t xml:space="preserve">48-IN PRIMARY CIRCULATION</x:t>
        </x:is>
      </x:c>
      <x:c r="G76" s="18" t="inlineStr">
        <x:is>
          <x:t xml:space="preserve">Planning aisle ribbon</x:t>
        </x:is>
      </x:c>
      <x:c r="H76" s="19" t="n"/>
      <x:c r="I76" s="19" t="n"/>
      <x:c r="J76" s="19" t="n"/>
      <x:c r="K76" s="20" t="n">
        <x:v>48</x:v>
      </x:c>
      <x:c r="L76" s="20" t="n">
        <x:v>120</x:v>
      </x:c>
      <x:c r="M76" s="20" t="n">
        <x:v>48</x:v>
      </x:c>
      <x:c r="N76" s="20" t="n">
        <x:v>120</x:v>
      </x:c>
      <x:c r="O76" s="17" t="inlineStr">
        <x:is>
          <x:t xml:space="preserve"/>
        </x:is>
      </x:c>
      <x:c r="P76" s="17" t="inlineStr">
        <x:is>
          <x:t xml:space="preserve">Main circulation and egress planning</x:t>
        </x:is>
      </x:c>
      <x:c r="Q76" s="18" t="inlineStr">
        <x:is>
          <x:t xml:space="preserve"/>
        </x:is>
      </x:c>
      <x:c r="R76" s="18" t="inlineStr">
        <x:is>
          <x:t xml:space="preserve"/>
        </x:is>
      </x:c>
      <x:c r="S76" s="18" t="inlineStr">
        <x:is>
          <x:t xml:space="preserve"/>
        </x:is>
      </x:c>
      <x:c r="T76" s="18" t="inlineStr">
        <x:is>
          <x:t xml:space="preserve"/>
        </x:is>
      </x:c>
      <x:c r="U76" s="17" t="inlineStr">
        <x:is>
          <x:t xml:space="preserve">Connect entrances and major zones</x:t>
        </x:is>
      </x:c>
      <x:c r="V76" s="17" t="inlineStr">
        <x:is>
          <x:t xml:space="preserve">Planning assumption - architect/EHS verify</x:t>
        </x:is>
      </x:c>
      <x:c r="W76" s="18" t="inlineStr">
        <x:is>
          <x:t xml:space="preserve">Scenario B starter prompt</x:t>
        </x:is>
      </x:c>
      <x:c r="X76" s="18" t="inlineStr">
        <x:is>
          <x:t xml:space="preserve"/>
        </x:is>
      </x:c>
      <x:c r="Y76" s="17" t="inlineStr">
        <x:is>
          <x:t xml:space="preserve">Width is the controlling dimension; length is a movable template only.</x:t>
        </x:is>
      </x:c>
      <x:c r="Z76" s="17" t="inlineStr">
        <x:is>
          <x:t xml:space="preserve">SCENARIO B - CLEARANCES</x:t>
        </x:is>
      </x:c>
      <x:c r="AA76" s="17" t="inlineStr">
        <x:is>
          <x:t xml:space="preserve">No</x:t>
        </x:is>
      </x:c>
      <x:c r="AB76" s="22" t="str">
        <x:f>IF(OR(H76="",I76=""),"",H76*I76/144)</x:f>
      </x:c>
      <x:c r="AC76" s="22" t="n">
        <x:f>IF(OR(M76="",N76=""),"",M76*N76/144)</x:f>
        <x:v>40</x:v>
      </x:c>
      <x:c r="AD76" s="22" t="n">
        <x:f>IF(AA76="Yes",E76*K76*L76/144,0)</x:f>
        <x:v>0</x:v>
      </x:c>
      <x:c r="AE76" s="22" t="n">
        <x:f>IF(OR(K76="",L76=""),"",K76*L76/144)</x:f>
        <x:v>40</x:v>
      </x:c>
      <x:c r="AF76" s="23" t="str">
        <x:f>IF(LEFT(D76,8)="Required","REQ",IF(LEFT(D76,11)="Conditional","COND",IF(LEFT(D76,8)="Template","TEMPLATE","REF")))</x:f>
        <x:v>TEMPLATE</x:v>
      </x:c>
      <x:c r="AG76" s="23" t="str">
        <x:f>IF(OR(ISNUMBER(SEARCH("verify",V76)),ISNUMBER(SEARCH("allowance",V76))),"REVIEW","")</x:f>
        <x:v>REVIEW</x:v>
      </x:c>
    </x:row>
    <x:row r="77" ht="64" customHeight="1">
      <x:c r="A77" s="17" t="inlineStr">
        <x:is>
          <x:t xml:space="preserve">B-CLR-WORK</x:t>
        </x:is>
      </x:c>
      <x:c r="B77" s="17" t="inlineStr">
        <x:is>
          <x:t xml:space="preserve">Clearance template</x:t>
        </x:is>
      </x:c>
      <x:c r="C77" s="17" t="inlineStr">
        <x:is>
          <x:t xml:space="preserve">Distributed</x:t>
        </x:is>
      </x:c>
      <x:c r="D77" s="17" t="inlineStr">
        <x:is>
          <x:t xml:space="preserve">Template - duplicate/extend as needed</x:t>
        </x:is>
      </x:c>
      <x:c r="E77" s="17" t="n">
        <x:v>1</x:v>
      </x:c>
      <x:c r="F77" s="17" t="inlineStr">
        <x:is>
          <x:t xml:space="preserve">42-IN ACTIVE WORK AISLE</x:t>
        </x:is>
      </x:c>
      <x:c r="G77" s="18" t="inlineStr">
        <x:is>
          <x:t xml:space="preserve">Planning aisle ribbon</x:t>
        </x:is>
      </x:c>
      <x:c r="H77" s="19" t="n"/>
      <x:c r="I77" s="19" t="n"/>
      <x:c r="J77" s="19" t="n"/>
      <x:c r="K77" s="20" t="n">
        <x:v>42</x:v>
      </x:c>
      <x:c r="L77" s="20" t="n">
        <x:v>120</x:v>
      </x:c>
      <x:c r="M77" s="20" t="n">
        <x:v>42</x:v>
      </x:c>
      <x:c r="N77" s="20" t="n">
        <x:v>120</x:v>
      </x:c>
      <x:c r="O77" s="17" t="inlineStr">
        <x:is>
          <x:t xml:space="preserve"/>
        </x:is>
      </x:c>
      <x:c r="P77" s="17" t="inlineStr">
        <x:is>
          <x:t xml:space="preserve">Analyst working aisle in front of benches</x:t>
        </x:is>
      </x:c>
      <x:c r="Q77" s="18" t="inlineStr">
        <x:is>
          <x:t xml:space="preserve"/>
        </x:is>
      </x:c>
      <x:c r="R77" s="18" t="inlineStr">
        <x:is>
          <x:t xml:space="preserve"/>
        </x:is>
      </x:c>
      <x:c r="S77" s="18" t="inlineStr">
        <x:is>
          <x:t xml:space="preserve"/>
        </x:is>
      </x:c>
      <x:c r="T77" s="18" t="inlineStr">
        <x:is>
          <x:t xml:space="preserve"/>
        </x:is>
      </x:c>
      <x:c r="U77" s="17" t="inlineStr">
        <x:is>
          <x:t xml:space="preserve">In front of active bench runs and islands</x:t>
        </x:is>
      </x:c>
      <x:c r="V77" s="17" t="inlineStr">
        <x:is>
          <x:t xml:space="preserve">Planning assumption - architect/EHS verify</x:t>
        </x:is>
      </x:c>
      <x:c r="W77" s="18" t="inlineStr">
        <x:is>
          <x:t xml:space="preserve">Scenario B starter prompt</x:t>
        </x:is>
      </x:c>
      <x:c r="X77" s="18" t="inlineStr">
        <x:is>
          <x:t xml:space="preserve"/>
        </x:is>
      </x:c>
      <x:c r="Y77" s="17" t="inlineStr">
        <x:is>
          <x:t xml:space="preserve">Width is the controlling dimension; length is a movable template only.</x:t>
        </x:is>
      </x:c>
      <x:c r="Z77" s="17" t="inlineStr">
        <x:is>
          <x:t xml:space="preserve">SCENARIO B - CLEARANCES</x:t>
        </x:is>
      </x:c>
      <x:c r="AA77" s="17" t="inlineStr">
        <x:is>
          <x:t xml:space="preserve">No</x:t>
        </x:is>
      </x:c>
      <x:c r="AB77" s="22" t="str">
        <x:f>IF(OR(H77="",I77=""),"",H77*I77/144)</x:f>
      </x:c>
      <x:c r="AC77" s="22" t="n">
        <x:f>IF(OR(M77="",N77=""),"",M77*N77/144)</x:f>
        <x:v>35</x:v>
      </x:c>
      <x:c r="AD77" s="22" t="n">
        <x:f>IF(AA77="Yes",E77*K77*L77/144,0)</x:f>
        <x:v>0</x:v>
      </x:c>
      <x:c r="AE77" s="22" t="n">
        <x:f>IF(OR(K77="",L77=""),"",K77*L77/144)</x:f>
        <x:v>35</x:v>
      </x:c>
      <x:c r="AF77" s="23" t="str">
        <x:f>IF(LEFT(D77,8)="Required","REQ",IF(LEFT(D77,11)="Conditional","COND",IF(LEFT(D77,8)="Template","TEMPLATE","REF")))</x:f>
        <x:v>TEMPLATE</x:v>
      </x:c>
      <x:c r="AG77" s="23" t="str">
        <x:f>IF(OR(ISNUMBER(SEARCH("verify",V77)),ISNUMBER(SEARCH("allowance",V77))),"REVIEW","")</x:f>
        <x:v>REVIEW</x:v>
      </x:c>
    </x:row>
    <x:row r="78" ht="64" customHeight="1">
      <x:c r="A78" s="17" t="inlineStr">
        <x:is>
          <x:t xml:space="preserve">B-CLR-SERVICE</x:t>
        </x:is>
      </x:c>
      <x:c r="B78" s="17" t="inlineStr">
        <x:is>
          <x:t xml:space="preserve">Clearance template</x:t>
        </x:is>
      </x:c>
      <x:c r="C78" s="17" t="inlineStr">
        <x:is>
          <x:t xml:space="preserve">Distributed</x:t>
        </x:is>
      </x:c>
      <x:c r="D78" s="17" t="inlineStr">
        <x:is>
          <x:t xml:space="preserve">Template - duplicate/extend as needed</x:t>
        </x:is>
      </x:c>
      <x:c r="E78" s="17" t="n">
        <x:v>1</x:v>
      </x:c>
      <x:c r="F78" s="17" t="inlineStr">
        <x:is>
          <x:t xml:space="preserve">36-IN PROVISIONAL SERVICE ACCESS</x:t>
        </x:is>
      </x:c>
      <x:c r="G78" s="18" t="inlineStr">
        <x:is>
          <x:t xml:space="preserve">Planning service ribbon</x:t>
        </x:is>
      </x:c>
      <x:c r="H78" s="19" t="n"/>
      <x:c r="I78" s="19" t="n"/>
      <x:c r="J78" s="19" t="n"/>
      <x:c r="K78" s="20" t="n">
        <x:v>36</x:v>
      </x:c>
      <x:c r="L78" s="20" t="n">
        <x:v>72</x:v>
      </x:c>
      <x:c r="M78" s="20" t="n">
        <x:v>36</x:v>
      </x:c>
      <x:c r="N78" s="20" t="n">
        <x:v>72</x:v>
      </x:c>
      <x:c r="O78" s="17" t="inlineStr">
        <x:is>
          <x:t xml:space="preserve"/>
        </x:is>
      </x:c>
      <x:c r="P78" s="17" t="inlineStr">
        <x:is>
          <x:t xml:space="preserve">Maintenance/service access where OEM does not require more</x:t>
        </x:is>
      </x:c>
      <x:c r="Q78" s="18" t="inlineStr">
        <x:is>
          <x:t xml:space="preserve"/>
        </x:is>
      </x:c>
      <x:c r="R78" s="18" t="inlineStr">
        <x:is>
          <x:t xml:space="preserve"/>
        </x:is>
      </x:c>
      <x:c r="S78" s="18" t="inlineStr">
        <x:is>
          <x:t xml:space="preserve"/>
        </x:is>
      </x:c>
      <x:c r="T78" s="18" t="inlineStr">
        <x:is>
          <x:t xml:space="preserve"/>
        </x:is>
      </x:c>
      <x:c r="U78" s="17" t="inlineStr">
        <x:is>
          <x:t xml:space="preserve">Behind/beside serviceable equipment only when needed</x:t>
        </x:is>
      </x:c>
      <x:c r="V78" s="17" t="inlineStr">
        <x:is>
          <x:t xml:space="preserve">Planning assumption - OEM/architect/EHS verify</x:t>
        </x:is>
      </x:c>
      <x:c r="W78" s="18" t="inlineStr">
        <x:is>
          <x:t xml:space="preserve">Scenario B starter prompt</x:t>
        </x:is>
      </x:c>
      <x:c r="X78" s="18" t="inlineStr">
        <x:is>
          <x:t xml:space="preserve"/>
        </x:is>
      </x:c>
      <x:c r="Y78" s="17" t="inlineStr">
        <x:is>
          <x:t xml:space="preserve">Never reduce an OEM clearance to this default.</x:t>
        </x:is>
      </x:c>
      <x:c r="Z78" s="17" t="inlineStr">
        <x:is>
          <x:t xml:space="preserve">SCENARIO B - CLEARANCES</x:t>
        </x:is>
      </x:c>
      <x:c r="AA78" s="17" t="inlineStr">
        <x:is>
          <x:t xml:space="preserve">No</x:t>
        </x:is>
      </x:c>
      <x:c r="AB78" s="22" t="str">
        <x:f>IF(OR(H78="",I78=""),"",H78*I78/144)</x:f>
      </x:c>
      <x:c r="AC78" s="22" t="n">
        <x:f>IF(OR(M78="",N78=""),"",M78*N78/144)</x:f>
        <x:v>18</x:v>
      </x:c>
      <x:c r="AD78" s="22" t="n">
        <x:f>IF(AA78="Yes",E78*K78*L78/144,0)</x:f>
        <x:v>0</x:v>
      </x:c>
      <x:c r="AE78" s="22" t="n">
        <x:f>IF(OR(K78="",L78=""),"",K78*L78/144)</x:f>
        <x:v>18</x:v>
      </x:c>
      <x:c r="AF78" s="23" t="str">
        <x:f>IF(LEFT(D78,8)="Required","REQ",IF(LEFT(D78,11)="Conditional","COND",IF(LEFT(D78,8)="Template","TEMPLATE","REF")))</x:f>
        <x:v>TEMPLATE</x:v>
      </x:c>
      <x:c r="AG78" s="23" t="str">
        <x:f>IF(OR(ISNUMBER(SEARCH("verify",V78)),ISNUMBER(SEARCH("allowance",V78))),"REVIEW","")</x:f>
        <x:v>REVIEW</x:v>
      </x:c>
    </x:row>
  </x:sheetData>
  <x:mergeCells>
    <x:mergeCell ref="A2:AG2"/>
    <x:mergeCell ref="A1:AG1"/>
  </x:mergeCells>
  <x:conditionalFormatting sqref="D5:D78">
    <x:cfRule type="expression" dxfId="0" priority="1">
      <x:formula>LEFT(D5,8)="Required"</x:formula>
    </x:cfRule>
    <x:cfRule type="expression" dxfId="1" priority="2">
      <x:formula>LEFT(D5,11)="Conditional"</x:formula>
    </x:cfRule>
    <x:cfRule type="expression" dxfId="2" priority="3">
      <x:formula>LEFT(D5,8)="Template"</x:formula>
    </x:cfRule>
  </x:conditionalFormatting>
  <x:conditionalFormatting sqref="V5:V78">
    <x:cfRule type="expression" dxfId="3" priority="4">
      <x:formula>OR(ISNUMBER(SEARCH("verify",V5)),ISNUMBER(SEARCH("allowance",V5)))</x:formula>
    </x:cfRule>
  </x:conditionalFormatting>
  <x:conditionalFormatting sqref="AG5:AG78">
    <x:cfRule type="expression" dxfId="3" priority="5">
      <x:formula>AG5="REVIEW"</x:formula>
    </x:cfRule>
  </x:conditionalFormatting>
  <x:dataValidations count="2">
    <x:dataValidation type="list" allowBlank="1" showDropDown="0" showInputMessage="0" showErrorMessage="0" sqref="D5:D78">
      <x:formula1>'_Lists'!$A$1:$A$10</x:formula1>
    </x:dataValidation>
    <x:dataValidation type="list" allowBlank="0" showDropDown="0" showInputMessage="0" showErrorMessage="0" sqref="AA5:AA78">
      <x:formula1>'_Lists'!$B$1:$B$2</x:formula1>
    </x:dataValidation>
  </x:dataValidations>
  <x:hyperlinks>
    <x:hyperlink xmlns:r="http://schemas.openxmlformats.org/officeDocument/2006/relationships" ref="X5" r:id="R876999cefe8b419d"/>
    <x:hyperlink xmlns:r="http://schemas.openxmlformats.org/officeDocument/2006/relationships" ref="X6" r:id="Rda4ddd2f2e6a4237"/>
    <x:hyperlink xmlns:r="http://schemas.openxmlformats.org/officeDocument/2006/relationships" ref="X7" r:id="R576f7e492a754fc1"/>
    <x:hyperlink xmlns:r="http://schemas.openxmlformats.org/officeDocument/2006/relationships" ref="X8" r:id="Rfda3a683da97485a"/>
    <x:hyperlink xmlns:r="http://schemas.openxmlformats.org/officeDocument/2006/relationships" ref="X11" r:id="R0f62310542024ee5"/>
    <x:hyperlink xmlns:r="http://schemas.openxmlformats.org/officeDocument/2006/relationships" ref="X12" r:id="Ra1c8288538794d54"/>
    <x:hyperlink xmlns:r="http://schemas.openxmlformats.org/officeDocument/2006/relationships" ref="X13" r:id="R5af6b0f5bcd7408d"/>
    <x:hyperlink xmlns:r="http://schemas.openxmlformats.org/officeDocument/2006/relationships" ref="X14" r:id="R16ba163c4bab42c0"/>
    <x:hyperlink xmlns:r="http://schemas.openxmlformats.org/officeDocument/2006/relationships" ref="X15" r:id="Rb7c9e0459b704856"/>
    <x:hyperlink xmlns:r="http://schemas.openxmlformats.org/officeDocument/2006/relationships" ref="X16" r:id="R9410748892c7494c"/>
    <x:hyperlink xmlns:r="http://schemas.openxmlformats.org/officeDocument/2006/relationships" ref="X17" r:id="R62764c919fb74be0"/>
    <x:hyperlink xmlns:r="http://schemas.openxmlformats.org/officeDocument/2006/relationships" ref="X18" r:id="R54b5645bd80f42f0"/>
    <x:hyperlink xmlns:r="http://schemas.openxmlformats.org/officeDocument/2006/relationships" ref="X21" r:id="Rf666ef4071744029"/>
    <x:hyperlink xmlns:r="http://schemas.openxmlformats.org/officeDocument/2006/relationships" ref="X24" r:id="R9d18ef2cb7d04b4b"/>
    <x:hyperlink xmlns:r="http://schemas.openxmlformats.org/officeDocument/2006/relationships" ref="X25" r:id="Rbbda3962b3ab4b12"/>
    <x:hyperlink xmlns:r="http://schemas.openxmlformats.org/officeDocument/2006/relationships" ref="X28" r:id="Rc356f5cd01e54e1c"/>
    <x:hyperlink xmlns:r="http://schemas.openxmlformats.org/officeDocument/2006/relationships" ref="X29" r:id="Raaab4d33f0bd4274"/>
    <x:hyperlink xmlns:r="http://schemas.openxmlformats.org/officeDocument/2006/relationships" ref="X30" r:id="Rda2e2aa04e594738"/>
    <x:hyperlink xmlns:r="http://schemas.openxmlformats.org/officeDocument/2006/relationships" ref="X37" r:id="R2c25f957c37a441a"/>
    <x:hyperlink xmlns:r="http://schemas.openxmlformats.org/officeDocument/2006/relationships" ref="X46" r:id="R14790fdab0f941a5"/>
    <x:hyperlink xmlns:r="http://schemas.openxmlformats.org/officeDocument/2006/relationships" ref="X47" r:id="R0f57c224c6434ff9"/>
    <x:hyperlink xmlns:r="http://schemas.openxmlformats.org/officeDocument/2006/relationships" ref="X48" r:id="Radf7e0d84a944666"/>
    <x:hyperlink xmlns:r="http://schemas.openxmlformats.org/officeDocument/2006/relationships" ref="X49" r:id="R9ef427bbf2be4b72"/>
    <x:hyperlink xmlns:r="http://schemas.openxmlformats.org/officeDocument/2006/relationships" ref="X50" r:id="Rd6f16cdb86bc441a"/>
    <x:hyperlink xmlns:r="http://schemas.openxmlformats.org/officeDocument/2006/relationships" ref="X51" r:id="R3670a80b0f1d43b1"/>
    <x:hyperlink xmlns:r="http://schemas.openxmlformats.org/officeDocument/2006/relationships" ref="X52" r:id="Rdf9e70de28f04e1d"/>
    <x:hyperlink xmlns:r="http://schemas.openxmlformats.org/officeDocument/2006/relationships" ref="X62" r:id="R25c45109ae1a4e5b"/>
    <x:hyperlink xmlns:r="http://schemas.openxmlformats.org/officeDocument/2006/relationships" ref="X63" r:id="Rb20d42ea72984e45"/>
  </x:hyperlinks>
  <x:pageMargins left="0.7" right="0.7" top="0.75" bottom="0.75" header="0.3" footer="0.3"/>
  <x:tableParts count="1">
    <x:tablePart xmlns:r="http://schemas.openxmlformats.org/officeDocument/2006/relationships" r:id="Rd1a9faa8ceea4254"/>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customWidth="1"/>
    <x:col min="2" max="2" width="20" customWidth="1"/>
    <x:col min="3" max="3" width="22" customWidth="1"/>
    <x:col min="4" max="4" width="45" customWidth="1"/>
    <x:col min="5" max="5" width="18" customWidth="1"/>
    <x:col min="6" max="6" width="32" customWidth="1"/>
    <x:col min="7" max="7" width="38" customWidth="1"/>
    <x:col min="8" max="8" width="65" customWidth="1"/>
    <x:col min="9" max="9" width="45" customWidth="1"/>
    <x:col min="10" max="10" width="34" customWidth="1"/>
    <x:col min="11" max="11" width="38" customWidth="1"/>
    <x:col min="12" max="12" width="34" customWidth="1"/>
    <x:col min="13" max="13" width="28" customWidth="1"/>
    <x:col min="14" max="14" width="42" customWidth="1"/>
    <x:col min="15" max="15" width="45" customWidth="1"/>
  </x:cols>
  <x:sheetData>
    <x:row r="1">
      <x:c r="A1" s="1" t="inlineStr">
        <x:is>
          <x:t xml:space="preserve">Scenario B Instrument Basis - copied from DDGS_instrument_options_GAFTA_strict_v3.xlsx</x:t>
        </x:is>
      </x:c>
    </x:row>
    <x:row r="2">
      <x:c r="A2" s="24" t="inlineStr">
        <x:is>
          <x:t xml:space="preserve">This sheet preserves the source workbook terminology. The object schedule adds planning dimensions and support objects but does not replace the GAFTA method gate or procurement review.</x:t>
        </x:is>
      </x:c>
    </x:row>
    <x:row r="3">
      <x:c r="A3" s="10" t="inlineStr">
        <x:is>
          <x:t xml:space="preserve">Option ID</x:t>
        </x:is>
      </x:c>
      <x:c r="B3" s="10" t="inlineStr">
        <x:is>
          <x:t xml:space="preserve">Category</x:t>
        </x:is>
      </x:c>
      <x:c r="C3" s="10" t="inlineStr">
        <x:is>
          <x:t xml:space="preserve">Vendor</x:t>
        </x:is>
      </x:c>
      <x:c r="D3" s="10" t="inlineStr">
        <x:is>
          <x:t xml:space="preserve">Model / item</x:t>
        </x:is>
      </x:c>
      <x:c r="E3" s="10" t="inlineStr">
        <x:is>
          <x:t xml:space="preserve">Launch priority</x:t>
        </x:is>
      </x:c>
      <x:c r="F3" s="10" t="inlineStr">
        <x:is>
          <x:t xml:space="preserve">Gafta Gate Status</x:t>
        </x:is>
      </x:c>
      <x:c r="G3" s="10" t="inlineStr">
        <x:is>
          <x:t xml:space="preserve">Required Gafta Method</x:t>
        </x:is>
      </x:c>
      <x:c r="H3" s="10" t="inlineStr">
        <x:is>
          <x:t xml:space="preserve">Recommendation / notes</x:t>
        </x:is>
      </x:c>
      <x:c r="I3" s="10" t="inlineStr">
        <x:is>
          <x:t xml:space="preserve">Product URL</x:t>
        </x:is>
      </x:c>
      <x:c r="J3" s="10" t="inlineStr">
        <x:is>
          <x:t xml:space="preserve">Electrical</x:t>
        </x:is>
      </x:c>
      <x:c r="K3" s="10" t="inlineStr">
        <x:is>
          <x:t xml:space="preserve">Ventilation / exhaust</x:t>
        </x:is>
      </x:c>
      <x:c r="L3" s="10" t="inlineStr">
        <x:is>
          <x:t xml:space="preserve">Plumbing / drain</x:t>
        </x:is>
      </x:c>
      <x:c r="M3" s="10" t="inlineStr">
        <x:is>
          <x:t xml:space="preserve">Gas</x:t>
        </x:is>
      </x:c>
      <x:c r="N3" s="10" t="inlineStr">
        <x:is>
          <x:t xml:space="preserve">Other site / furniture needs</x:t>
        </x:is>
      </x:c>
      <x:c r="O3" s="10" t="inlineStr">
        <x:is>
          <x:t xml:space="preserve">Site comments</x:t>
        </x:is>
      </x:c>
    </x:row>
    <x:row r="4" ht="76" customHeight="1">
      <x:c r="A4" s="18" t="inlineStr">
        <x:is>
          <x:t xml:space="preserve">MYCO-01</x:t>
        </x:is>
      </x:c>
      <x:c r="B4" s="18" t="inlineStr">
        <x:is>
          <x:t xml:space="preserve">Mycotoxins</x:t>
        </x:is>
      </x:c>
      <x:c r="C4" s="18" t="inlineStr">
        <x:is>
          <x:t xml:space="preserve">Shimadzu</x:t>
        </x:is>
      </x:c>
      <x:c r="D4" s="18" t="inlineStr">
        <x:is>
          <x:t xml:space="preserve">Existing LCMS-8040RX triple quadrupole + mycotoxin method package/validation</x:t>
        </x:is>
      </x:c>
      <x:c r="E4" s="17" t="inlineStr">
        <x:is>
          <x:t xml:space="preserve">Use existing; fund validation</x:t>
        </x:is>
      </x:c>
      <x:c r="F4" s="17" t="inlineStr">
        <x:is>
          <x:t xml:space="preserve">PASS - listed detection allowance</x:t>
        </x:is>
      </x:c>
      <x:c r="G4" s="17" t="inlineStr">
        <x:is>
          <x:t xml:space="preserve">18.1 / ISO 17375 (aflatoxins); MS expressly permitted</x:t>
        </x:is>
      </x:c>
      <x:c r="H4" s="18" t="inlineStr">
        <x:is>
          <x:t xml:space="preserve">Use the existing LCMS-8040RX. For Gafta aflatoxins, implement the ISO 17375 sample preparation/cleanup requirements and use MS only as the expressly permitted detection technique. Other mycotoxins remain customer-agreed methods.</x:t>
        </x:is>
      </x:c>
      <x:c r="I4" s="21" t="inlineStr">
        <x:is>
          <x:t xml:space="preserve">https://www.shimadzu.com/an/resources/movies/LCMS-8040/index.html</x:t>
        </x:is>
      </x:c>
      <x:c r="J4" s="18" t="inlineStr">
        <x:is>
          <x:t xml:space="preserve">208-240V dedicated power; UPS recommended</x:t>
        </x:is>
      </x:c>
      <x:c r="K4" s="18" t="inlineStr">
        <x:is>
          <x:t xml:space="preserve">General lab HVAC; pump exhaust per OEM; keep away from dust</x:t>
        </x:is>
      </x:c>
      <x:c r="L4" s="18" t="inlineStr">
        <x:is>
          <x:t xml:space="preserve">None direct</x:t>
        </x:is>
      </x:c>
      <x:c r="M4" s="18" t="inlineStr">
        <x:is>
          <x:t xml:space="preserve">Nitrogen generator or high-purity N2 supply</x:t>
        </x:is>
      </x:c>
      <x:c r="N4" s="18" t="inlineStr">
        <x:is>
          <x:t xml:space="preserve">Clean instrument bench; solvent storage cabinet nearby</x:t>
        </x:is>
      </x:c>
      <x:c r="O4" s="18" t="inlineStr">
        <x:is>
          <x:t xml:space="preserve">Already owned in Prep Lab/Lab.</x:t>
        </x:is>
      </x:c>
    </x:row>
    <x:row r="5" ht="76" customHeight="1">
      <x:c r="A5" s="18" t="inlineStr">
        <x:is>
          <x:t xml:space="preserve">MIN-01</x:t>
        </x:is>
      </x:c>
      <x:c r="B5" s="18" t="inlineStr">
        <x:is>
          <x:t xml:space="preserve">Minerals</x:t>
        </x:is>
      </x:c>
      <x:c r="C5" s="18" t="inlineStr">
        <x:is>
          <x:t xml:space="preserve">Existing instrument</x:t>
        </x:is>
      </x:c>
      <x:c r="D5" s="18" t="inlineStr">
        <x:is>
          <x:t xml:space="preserve">Existing ICP-OES + existing Anton Paar Multiwave 5000 digestion</x:t>
        </x:is>
      </x:c>
      <x:c r="E5" s="17" t="inlineStr">
        <x:is>
          <x:t xml:space="preserve">Use existing; fund validation</x:t>
        </x:is>
      </x:c>
      <x:c r="F5" s="17" t="inlineStr">
        <x:is>
          <x:t xml:space="preserve">PASS - limited listed analytes</x:t>
        </x:is>
      </x:c>
      <x:c r="G5" s="17" t="inlineStr">
        <x:is>
          <x:t xml:space="preserve">14.0 / ISO 6869 Ca, Mg, Na; 20.0 / ISO 7485 Na; ICP permitted</x:t>
        </x:is>
      </x:c>
      <x:c r="H5" s="18" t="inlineStr">
        <x:is>
          <x:t xml:space="preserve">Use the existing ICP-OES for Gafta Ca/Mg/Na under the stated ISO methods and for the other customer minerals under separately controlled methods. Phosphorus must use ISO 6491 for Gafta reporting.</x:t>
        </x:is>
      </x:c>
      <x:c r="I5" s="21" t="inlineStr">
        <x:is>
          <x:t xml:space="preserve">User provided - existing ICP-OES</x:t>
        </x:is>
      </x:c>
      <x:c r="J5" s="18" t="inlineStr">
        <x:is>
          <x:t xml:space="preserve">208-240V dedicated</x:t>
        </x:is>
      </x:c>
      <x:c r="K5" s="18" t="inlineStr">
        <x:is>
          <x:t xml:space="preserve">Instrument exhaust and microwave venting per OEM</x:t>
        </x:is>
      </x:c>
      <x:c r="L5" s="18" t="inlineStr">
        <x:is>
          <x:t xml:space="preserve">DI water nearby helpful; digestion waste management</x:t>
        </x:is>
      </x:c>
      <x:c r="M5" s="18" t="inlineStr">
        <x:is>
          <x:t xml:space="preserve">Argon supply for ICP</x:t>
        </x:is>
      </x:c>
      <x:c r="N5" s="18" t="inlineStr">
        <x:is>
          <x:t xml:space="preserve">Acid-resistant prep bench, chemical storage</x:t>
        </x:is>
      </x:c>
      <x:c r="O5" s="18" t="inlineStr">
        <x:is>
          <x:t xml:space="preserve">Already owned in Prep Lab/Lab.</x:t>
        </x:is>
      </x:c>
    </x:row>
    <x:row r="6" ht="76" customHeight="1">
      <x:c r="A6" s="18" t="inlineStr">
        <x:is>
          <x:t xml:space="preserve">MIN-03</x:t>
        </x:is>
      </x:c>
      <x:c r="B6" s="18" t="inlineStr">
        <x:is>
          <x:t xml:space="preserve">Phosphorus colorimetry</x:t>
        </x:is>
      </x:c>
      <x:c r="C6" s="18" t="inlineStr">
        <x:is>
          <x:t xml:space="preserve">Thermo Scientific</x:t>
        </x:is>
      </x:c>
      <x:c r="D6" s="18" t="inlineStr">
        <x:is>
          <x:t xml:space="preserve">Evolution One UV-Vis</x:t>
        </x:is>
      </x:c>
      <x:c r="E6" s="17" t="inlineStr">
        <x:is>
          <x:t xml:space="preserve">Budget option</x:t>
        </x:is>
      </x:c>
      <x:c r="F6" s="17" t="inlineStr">
        <x:is>
          <x:t xml:space="preserve">PASS - exact method apparatus</x:t>
        </x:is>
      </x:c>
      <x:c r="G6" s="17" t="inlineStr">
        <x:is>
          <x:t xml:space="preserve">8.0 / ISO 6491 phosphorus</x:t>
        </x:is>
      </x:c>
      <x:c r="H6" s="18" t="inlineStr">
        <x:is>
          <x:t xml:space="preserve">Lower-cost UV-Vis option. Run the complete ISO 6491 procedure and qualify the instrument at the method wavelength.</x:t>
        </x:is>
      </x:c>
      <x:c r="I6" s="21" t="inlineStr">
        <x:is>
          <x:t xml:space="preserve">https://www.thermofisher.com/order/catalog/product/840-341400</x:t>
        </x:is>
      </x:c>
      <x:c r="J6" s="18" t="inlineStr">
        <x:is>
          <x:t xml:space="preserve">120V or 100-240V benchtop service</x:t>
        </x:is>
      </x:c>
      <x:c r="K6" s="18" t="inlineStr">
        <x:is>
          <x:t xml:space="preserve">Normal HVAC</x:t>
        </x:is>
      </x:c>
      <x:c r="L6" s="18" t="inlineStr">
        <x:is>
          <x:t xml:space="preserve">None</x:t>
        </x:is>
      </x:c>
      <x:c r="M6" s="18" t="inlineStr">
        <x:is>
          <x:t xml:space="preserve">None</x:t>
        </x:is>
      </x:c>
      <x:c r="N6" s="18" t="inlineStr">
        <x:is>
          <x:t xml:space="preserve">Stable clean bench, matched cells, reagent prep space</x:t>
        </x:is>
      </x:c>
      <x:c r="O6" s="18" t="inlineStr">
        <x:is>
          <x:t xml:space="preserve">Run full ISO 6491 wet chemistry.</x:t>
        </x:is>
      </x:c>
    </x:row>
    <x:row r="7" ht="76" customHeight="1">
      <x:c r="A7" s="18" t="inlineStr">
        <x:is>
          <x:t xml:space="preserve">MOIST-02</x:t>
        </x:is>
      </x:c>
      <x:c r="B7" s="18" t="inlineStr">
        <x:is>
          <x:t xml:space="preserve">Reference drying/ashing</x:t>
        </x:is>
      </x:c>
      <x:c r="C7" s="18" t="inlineStr">
        <x:is>
          <x:t xml:space="preserve">Thermo Scientific</x:t>
        </x:is>
      </x:c>
      <x:c r="D7" s="18" t="inlineStr">
        <x:is>
          <x:t xml:space="preserve">Heratherm OGS100 oven + Thermolyne F6010 muffle furnace</x:t>
        </x:is>
      </x:c>
      <x:c r="E7" s="17" t="inlineStr">
        <x:is>
          <x:t xml:space="preserve">Launch purchase</x:t>
        </x:is>
      </x:c>
      <x:c r="F7" s="17" t="inlineStr">
        <x:is>
          <x:t xml:space="preserve">PASS - direct reference equipment</x:t>
        </x:is>
      </x:c>
      <x:c r="G7" s="17" t="inlineStr">
        <x:is>
          <x:t xml:space="preserve">2.1 / ISO 6496 moisture; 11.1 / ISO 5984 ash</x:t>
        </x:is>
      </x:c>
      <x:c r="H7" s="18" t="inlineStr">
        <x:is>
          <x:t xml:space="preserve">Lowest-capex direct route for Gafta moisture and ash. Configure dishes, lids, crucibles, temperatures, times and repeat-drying exactly to the current ISO methods.</x:t>
        </x:is>
      </x:c>
      <x:c r="I7" s="21" t="inlineStr">
        <x:is>
          <x:t xml:space="preserve">https://www.thermofisher.com/order/catalog/product/51028112</x:t>
        </x:is>
      </x:c>
      <x:c r="J7" s="18" t="inlineStr">
        <x:is>
          <x:t xml:space="preserve">208-240V dedicated circuits</x:t>
        </x:is>
      </x:c>
      <x:c r="K7" s="18" t="inlineStr">
        <x:is>
          <x:t xml:space="preserve">Heat-producing equipment; room exhaust/canopy as required by facility design</x:t>
        </x:is>
      </x:c>
      <x:c r="L7" s="18" t="inlineStr">
        <x:is>
          <x:t xml:space="preserve">None</x:t>
        </x:is>
      </x:c>
      <x:c r="M7" s="18" t="inlineStr">
        <x:is>
          <x:t xml:space="preserve">None</x:t>
        </x:is>
      </x:c>
      <x:c r="N7" s="18" t="inlineStr">
        <x:is>
          <x:t xml:space="preserve">Heat-resistant stand, tongs and desiccator bench</x:t>
        </x:is>
      </x:c>
      <x:c r="O7" s="18" t="inlineStr">
        <x:is>
          <x:t xml:space="preserve">These are the primary Gafta systems; TGA801 is not in the active list.</x:t>
        </x:is>
      </x:c>
    </x:row>
    <x:row r="8" ht="76" customHeight="1">
      <x:c r="A8" s="18" t="inlineStr">
        <x:is>
          <x:t xml:space="preserve">PROT-01</x:t>
        </x:is>
      </x:c>
      <x:c r="B8" s="18" t="inlineStr">
        <x:is>
          <x:t xml:space="preserve">Protein</x:t>
        </x:is>
      </x:c>
      <x:c r="C8" s="18" t="inlineStr">
        <x:is>
          <x:t xml:space="preserve">LECO</x:t>
        </x:is>
      </x:c>
      <x:c r="D8" s="18" t="inlineStr">
        <x:is>
          <x:t xml:space="preserve">828P / FP828 nitrogen-protein analyzer</x:t>
        </x:is>
      </x:c>
      <x:c r="E8" s="17" t="inlineStr">
        <x:is>
          <x:t xml:space="preserve">Launch purchase</x:t>
        </x:is>
      </x:c>
      <x:c r="F8" s="17" t="inlineStr">
        <x:is>
          <x:t xml:space="preserve">PASS - listed instrumental method</x:t>
        </x:is>
      </x:c>
      <x:c r="G8" s="17" t="inlineStr">
        <x:is>
          <x:t xml:space="preserve">4.4 / ISO 16634-1 Dumas</x:t>
        </x:is>
      </x:c>
      <x:c r="H8" s="18" t="inlineStr">
        <x:is>
          <x:t xml:space="preserve">Retain as the high-throughput protein option. Require the vendor application/SOP for the current ISO 16634-1, DDGS matrix data, nitrogen factor controls and ISO/IEC 17025 references.</x:t>
        </x:is>
      </x:c>
      <x:c r="I8" s="21" t="inlineStr">
        <x:is>
          <x:t xml:space="preserve">https://www.leco.com/products/828-series/</x:t>
        </x:is>
      </x:c>
      <x:c r="J8" s="18" t="inlineStr">
        <x:is>
          <x:t xml:space="preserve">208-240V dedicated</x:t>
        </x:is>
      </x:c>
      <x:c r="K8" s="18" t="inlineStr">
        <x:is>
          <x:t xml:space="preserve">Combustion exhaust per OEM</x:t>
        </x:is>
      </x:c>
      <x:c r="L8" s="18" t="inlineStr">
        <x:is>
          <x:t xml:space="preserve">None</x:t>
        </x:is>
      </x:c>
      <x:c r="M8" s="18" t="inlineStr">
        <x:is>
          <x:t xml:space="preserve">Oxygen and carrier gas per configured ISO method</x:t>
        </x:is>
      </x:c>
      <x:c r="N8" s="18" t="inlineStr">
        <x:is>
          <x:t xml:space="preserve">Clean instrument bench; autosampler clearance</x:t>
        </x:is>
      </x:c>
      <x:c r="O8" s="18" t="inlineStr">
        <x:is>
          <x:t xml:space="preserve">Require exact ISO 16634-1 method package.</x:t>
        </x:is>
      </x:c>
    </x:row>
    <x:row r="9" ht="76" customHeight="1">
      <x:c r="A9" s="18" t="inlineStr">
        <x:is>
          <x:t xml:space="preserve">FAT-06</x:t>
        </x:is>
      </x:c>
      <x:c r="B9" s="18" t="inlineStr">
        <x:is>
          <x:t xml:space="preserve">Crude fat / oil</x:t>
        </x:is>
      </x:c>
      <x:c r="C9" s="18" t="inlineStr">
        <x:is>
          <x:t xml:space="preserve">DWK/Kimble, Labconco, glassware suppliers</x:t>
        </x:is>
      </x:c>
      <x:c r="D9" s="18" t="inlineStr">
        <x:is>
          <x:t xml:space="preserve">Conventional Soxhlet glassware, heating mantles, condensers, solvent recovery</x:t>
        </x:is>
      </x:c>
      <x:c r="E9" s="17" t="inlineStr">
        <x:is>
          <x:t xml:space="preserve">Reference backup</x:t>
        </x:is>
      </x:c>
      <x:c r="F9" s="17" t="inlineStr">
        <x:is>
          <x:t xml:space="preserve">PASS - direct reference apparatus</x:t>
        </x:is>
      </x:c>
      <x:c r="G9" s="17" t="inlineStr">
        <x:is>
          <x:t xml:space="preserve">3.2 / ISO 6492 Procedure A only</x:t>
        </x:is>
      </x:c>
      <x:c r="H9" s="18" t="inlineStr">
        <x:is>
          <x:t xml:space="preserve">Lowest-capex exact-method route. Configure the apparatus, thimbles, solvent, extraction duration, evaporation and final drying exactly to ISO 6492 Procedure A; highest analyst labor.</x:t>
        </x:is>
      </x:c>
      <x:c r="I9" s="21" t="inlineStr">
        <x:is>
          <x:t xml:space="preserve">https://www.labx.com/product/soxhlet-extractor</x:t>
        </x:is>
      </x:c>
      <x:c r="J9" s="18" t="inlineStr">
        <x:is>
          <x:t xml:space="preserve">Typically 208-240V</x:t>
        </x:is>
      </x:c>
      <x:c r="K9" s="18" t="inlineStr">
        <x:is>
          <x:t xml:space="preserve">Fume hood or interlocked solvent exhaust</x:t>
        </x:is>
      </x:c>
      <x:c r="L9" s="18" t="inlineStr">
        <x:is>
          <x:t xml:space="preserve">Cooling water and drain for FOSS systems; solvent waste management</x:t>
        </x:is>
      </x:c>
      <x:c r="M9" s="18" t="inlineStr">
        <x:is>
          <x:t xml:space="preserve">None</x:t>
        </x:is>
      </x:c>
      <x:c r="N9" s="18" t="inlineStr">
        <x:is>
          <x:t xml:space="preserve">Flammables cabinet, solvent waste, fire-safety clearance</x:t>
        </x:is>
      </x:c>
      <x:c r="O9" s="18" t="inlineStr">
        <x:is>
          <x:t xml:space="preserve">Procedure A only; no Randall/ANKOM alternatives in active list.</x:t>
        </x:is>
      </x:c>
    </x:row>
    <x:row r="10" ht="76" customHeight="1">
      <x:c r="A10" s="18" t="inlineStr">
        <x:is>
          <x:t xml:space="preserve">FIBER-03</x:t>
        </x:is>
      </x:c>
      <x:c r="B10" s="18" t="inlineStr">
        <x:is>
          <x:t xml:space="preserve">Crude fiber / NDF / ADF</x:t>
        </x:is>
      </x:c>
      <x:c r="C10" s="18" t="inlineStr">
        <x:is>
          <x:t xml:space="preserve">VELP</x:t>
        </x:is>
      </x:c>
      <x:c r="D10" s="18" t="inlineStr">
        <x:is>
          <x:t xml:space="preserve">FIWE 6 raw fiber analyzer</x:t>
        </x:is>
      </x:c>
      <x:c r="E10" s="17" t="inlineStr">
        <x:is>
          <x:t xml:space="preserve">Budget option</x:t>
        </x:is>
      </x:c>
      <x:c r="F10" s="17" t="inlineStr">
        <x:is>
          <x:t xml:space="preserve">PASS - vendor application available</x:t>
        </x:is>
      </x:c>
      <x:c r="G10" s="17" t="inlineStr">
        <x:is>
          <x:t xml:space="preserve">9.0 / ISO 6865 crude fibre</x:t>
        </x:is>
      </x:c>
      <x:c r="H10" s="18" t="inlineStr">
        <x:is>
          <x:t xml:space="preserve">VELP has an ISO 6865 application for FIWE 6. Lowest-capex commercial fiber analyzer retained in the active list; more analyst handling than FIWE Advance/Fibertec 8000.</x:t>
        </x:is>
      </x:c>
      <x:c r="I10" s="21" t="inlineStr">
        <x:is>
          <x:t xml:space="preserve">https://www.fishersci.co.uk/shop/products/fiwe6-fiber-analyzer/11775714</x:t>
        </x:is>
      </x:c>
      <x:c r="J10" s="18" t="n"/>
      <x:c r="K10" s="18" t="n"/>
      <x:c r="L10" s="18" t="n"/>
      <x:c r="M10" s="18" t="n"/>
      <x:c r="N10" s="18" t="n"/>
      <x:c r="O10" s="18" t="n"/>
    </x:row>
    <x:row r="11" ht="76" customHeight="1">
      <x:c r="A11" s="18" t="inlineStr">
        <x:is>
          <x:t xml:space="preserve">STARCH-G2</x:t>
        </x:is>
      </x:c>
      <x:c r="B11" s="18" t="inlineStr">
        <x:is>
          <x:t xml:space="preserve">Starch - Gafta polarimetric</x:t>
        </x:is>
      </x:c>
      <x:c r="C11" s="18" t="inlineStr">
        <x:is>
          <x:t xml:space="preserve">Rudolph Research Analytical</x:t>
        </x:is>
      </x:c>
      <x:c r="D11" s="18" t="inlineStr">
        <x:is>
          <x:t xml:space="preserve">AUTOPOL I or AUTOPOL II automatic polarimeter, 589 nm, with 200 mm tube and temperature monitoring</x:t>
        </x:is>
      </x:c>
      <x:c r="E11" s="17" t="inlineStr">
        <x:is>
          <x:t xml:space="preserve">Budget option</x:t>
        </x:is>
      </x:c>
      <x:c r="F11" s="17" t="inlineStr">
        <x:is>
          <x:t xml:space="preserve">PASS - exact method apparatus</x:t>
        </x:is>
      </x:c>
      <x:c r="G11" s="17" t="inlineStr">
        <x:is>
          <x:t xml:space="preserve">22.0 / ISO 6493 polarimetric starch</x:t>
        </x:is>
      </x:c>
      <x:c r="H11" s="18" t="inlineStr">
        <x:is>
          <x:t xml:space="preserve">Economical food/starch polarimeter option. Require confirmation that the configured tube length, wavelength, temperature measurement and precision satisfy the current ISO 6493 procedure.</x:t>
        </x:is>
      </x:c>
      <x:c r="I11" s="21" t="inlineStr">
        <x:is>
          <x:t xml:space="preserve">https://rudolphresearch.com/products/polarimeters/autopol-i/</x:t>
        </x:is>
      </x:c>
      <x:c r="J11" s="18" t="n"/>
      <x:c r="K11" s="18" t="n"/>
      <x:c r="L11" s="18" t="n"/>
      <x:c r="M11" s="18" t="n"/>
      <x:c r="N11" s="18" t="n"/>
      <x:c r="O11" s="18" t="n"/>
    </x:row>
    <x:row r="12" ht="76" customHeight="1">
      <x:c r="A12" s="18" t="inlineStr">
        <x:is>
          <x:t xml:space="preserve">COLOR-01</x:t>
        </x:is>
      </x:c>
      <x:c r="B12" s="18" t="inlineStr">
        <x:is>
          <x:t xml:space="preserve">Color</x:t>
        </x:is>
      </x:c>
      <x:c r="C12" s="18" t="inlineStr">
        <x:is>
          <x:t xml:space="preserve">HunterLab</x:t>
        </x:is>
      </x:c>
      <x:c r="D12" s="18" t="inlineStr">
        <x:is>
          <x:t xml:space="preserve">ColorFlex EZ 45/0 benchtop spectrophotometer</x:t>
        </x:is>
      </x:c>
      <x:c r="E12" s="17" t="inlineStr">
        <x:is>
          <x:t xml:space="preserve">Launch purchase</x:t>
        </x:is>
      </x:c>
      <x:c r="F12" s="17" t="inlineStr">
        <x:is>
          <x:t xml:space="preserve">N/A - no applicable Gafta method listed</x:t>
        </x:is>
      </x:c>
      <x:c r="G12" s="17" t="inlineStr">
        <x:is>
          <x:t xml:space="preserve">Customer-agreed method / controlled calculation</x:t>
        </x:is>
      </x:c>
      <x:c r="H12" s="18" t="inlineStr">
        <x:is>
          <x:t xml:space="preserve">Exact match to COA method wording. Confirm cup/port geometry and sample presentation for DDGS.</x:t>
        </x:is>
      </x:c>
      <x:c r="I12" s="21" t="inlineStr">
        <x:is>
          <x:t xml:space="preserve">https://www.hunterlab.com/en/products/benchtop-spectrophotometers/colorflex-ez/</x:t>
        </x:is>
      </x:c>
      <x:c r="J12" s="18" t="inlineStr">
        <x:is>
          <x:t xml:space="preserve">120V</x:t>
        </x:is>
      </x:c>
      <x:c r="K12" s="18" t="inlineStr">
        <x:is>
          <x:t xml:space="preserve">Normal HVAC</x:t>
        </x:is>
      </x:c>
      <x:c r="L12" s="18" t="inlineStr">
        <x:is>
          <x:t xml:space="preserve">None</x:t>
        </x:is>
      </x:c>
      <x:c r="M12" s="18" t="inlineStr">
        <x:is>
          <x:t xml:space="preserve">None</x:t>
        </x:is>
      </x:c>
      <x:c r="N12" s="18" t="inlineStr">
        <x:is>
          <x:t xml:space="preserve">Low-dust clean bench; standards and cup storage</x:t>
        </x:is>
      </x:c>
      <x:c r="O12" s="18" t="inlineStr">
        <x:is>
          <x:t xml:space="preserve">No Gafta method listed.</x:t>
        </x:is>
      </x:c>
    </x:row>
    <x:row r="13" ht="76" customHeight="1">
      <x:c r="A13" s="18" t="inlineStr">
        <x:is>
          <x:t xml:space="preserve">DENS-01</x:t>
        </x:is>
      </x:c>
      <x:c r="B13" s="18" t="inlineStr">
        <x:is>
          <x:t xml:space="preserve">Density</x:t>
        </x:is>
      </x:c>
      <x:c r="C13" s="18" t="inlineStr">
        <x:is>
          <x:t xml:space="preserve">Copley Scientific</x:t>
        </x:is>
      </x:c>
      <x:c r="D13" s="18" t="inlineStr">
        <x:is>
          <x:t xml:space="preserve">JV 120i or JV 220i tapped density tester + cylinders</x:t>
        </x:is>
      </x:c>
      <x:c r="E13" s="17" t="inlineStr">
        <x:is>
          <x:t xml:space="preserve">Launch purchase</x:t>
        </x:is>
      </x:c>
      <x:c r="F13" s="17" t="inlineStr">
        <x:is>
          <x:t xml:space="preserve">N/A - no applicable Gafta method listed</x:t>
        </x:is>
      </x:c>
      <x:c r="G13" s="17" t="inlineStr">
        <x:is>
          <x:t xml:space="preserve">Customer-agreed method / controlled calculation</x:t>
        </x:is>
      </x:c>
      <x:c r="H13" s="18" t="inlineStr">
        <x:is>
          <x:t xml:space="preserve">Best balance for USP &lt;616&gt; tapped density. Also buy suitable cylinders and a manual bulk density setup.</x:t>
        </x:is>
      </x:c>
      <x:c r="I13" s="21" t="inlineStr">
        <x:is>
          <x:t xml:space="preserve">https://www.copleyscientific.com/pharmaceutical-testing/powder-testing/tapped-density-jvi-series/</x:t>
        </x:is>
      </x:c>
      <x:c r="J13" s="18" t="inlineStr">
        <x:is>
          <x:t xml:space="preserve">120V for tapped tester</x:t>
        </x:is>
      </x:c>
      <x:c r="K13" s="18" t="inlineStr">
        <x:is>
          <x:t xml:space="preserve">Normal HVAC</x:t>
        </x:is>
      </x:c>
      <x:c r="L13" s="18" t="inlineStr">
        <x:is>
          <x:t xml:space="preserve">None</x:t>
        </x:is>
      </x:c>
      <x:c r="M13" s="18" t="inlineStr">
        <x:is>
          <x:t xml:space="preserve">None</x:t>
        </x:is>
      </x:c>
      <x:c r="N13" s="18" t="inlineStr">
        <x:is>
          <x:t xml:space="preserve">Stable level bench and cylinders</x:t>
        </x:is>
      </x:c>
      <x:c r="O13" s="18" t="inlineStr">
        <x:is>
          <x:t xml:space="preserve">Gafta bulk density method is for cereals, not DDGS.</x:t>
        </x:is>
      </x:c>
    </x:row>
    <x:row r="14" ht="76" customHeight="1">
      <x:c r="A14" s="18" t="inlineStr">
        <x:is>
          <x:t xml:space="preserve">AA-02</x:t>
        </x:is>
      </x:c>
      <x:c r="B14" s="18" t="inlineStr">
        <x:is>
          <x:t xml:space="preserve">Amino acids</x:t>
        </x:is>
      </x:c>
      <x:c r="C14" s="18" t="inlineStr">
        <x:is>
          <x:t xml:space="preserve">Sykam</x:t>
        </x:is>
      </x:c>
      <x:c r="D14" s="18" t="inlineStr">
        <x:is>
          <x:t xml:space="preserve">S 433 Amino Acid Analyzer</x:t>
        </x:is>
      </x:c>
      <x:c r="E14" s="17" t="inlineStr">
        <x:is>
          <x:t xml:space="preserve">Budget option</x:t>
        </x:is>
      </x:c>
      <x:c r="F14" s="17" t="inlineStr">
        <x:is>
          <x:t xml:space="preserve">N/A - no applicable Gafta method listed</x:t>
        </x:is>
      </x:c>
      <x:c r="G14" s="17" t="inlineStr">
        <x:is>
          <x:t xml:space="preserve">Customer-agreed method / controlled calculation</x:t>
        </x:is>
      </x:c>
      <x:c r="H14" s="18" t="inlineStr">
        <x:is>
          <x:t xml:space="preserve">Potentially lower capital than Hitachi. Require U.S. service references and feed hydrolysate application support before purchase.</x:t>
        </x:is>
      </x:c>
      <x:c r="I14" s="21" t="inlineStr">
        <x:is>
          <x:t xml:space="preserve">https://sykam.com/product/amino-acid-analyzers/s-433-amino-acid-analyzer/</x:t>
        </x:is>
      </x:c>
      <x:c r="J14" s="18" t="n"/>
      <x:c r="K14" s="18" t="n"/>
      <x:c r="L14" s="18" t="n"/>
      <x:c r="M14" s="18" t="n"/>
      <x:c r="N14" s="18" t="n"/>
      <x:c r="O14" s="18" t="n"/>
    </x:row>
    <x:row r="15" ht="76" customHeight="1">
      <x:c r="A15" s="18" t="inlineStr">
        <x:is>
          <x:t xml:space="preserve">AA-PREP-01</x:t>
        </x:is>
      </x:c>
      <x:c r="B15" s="18" t="inlineStr">
        <x:is>
          <x:t xml:space="preserve">Amino acid preparation</x:t>
        </x:is>
      </x:c>
      <x:c r="C15" s="18" t="inlineStr">
        <x:is>
          <x:t xml:space="preserve">Existing Anton Paar + accessories</x:t>
        </x:is>
      </x:c>
      <x:c r="D15" s="18" t="inlineStr">
        <x:is>
          <x:t xml:space="preserve">Existing Multiwave 5000 with dedicated HCl/alkaline vessel sets; nitrogen evaporator; hydrolysis block</x:t>
        </x:is>
      </x:c>
      <x:c r="E15" s="17" t="inlineStr">
        <x:is>
          <x:t xml:space="preserve">Launch purchase accessories</x:t>
        </x:is>
      </x:c>
      <x:c r="F15" s="17" t="inlineStr">
        <x:is>
          <x:t xml:space="preserve">N/A - no applicable Gafta method listed</x:t>
        </x:is>
      </x:c>
      <x:c r="G15" s="17" t="inlineStr">
        <x:is>
          <x:t xml:space="preserve">Customer-agreed method / controlled calculation</x:t>
        </x:is>
      </x:c>
      <x:c r="H15" s="18" t="inlineStr">
        <x:is>
          <x:t xml:space="preserve">Do not buy a second microwave yet. Buy dedicated vessels and a reference hydrolysis setup. Confirm rotor/seal compatibility for hot HCl/NaOH.</x:t>
        </x:is>
      </x:c>
      <x:c r="I15" s="21" t="inlineStr">
        <x:is>
          <x:t xml:space="preserve">User provided - existing Anton Paar Multiwave 5000</x:t>
        </x:is>
      </x:c>
      <x:c r="J15" s="18" t="inlineStr">
        <x:is>
          <x:t xml:space="preserve">120V/208-240V by evaporator/block</x:t>
        </x:is>
      </x:c>
      <x:c r="K15" s="18" t="inlineStr">
        <x:is>
          <x:t xml:space="preserve">Acid fume hood strongly recommended</x:t>
        </x:is>
      </x:c>
      <x:c r="L15" s="18" t="inlineStr">
        <x:is>
          <x:t xml:space="preserve">Sink and chemical-resistant waste handling</x:t>
        </x:is>
      </x:c>
      <x:c r="M15" s="18" t="inlineStr">
        <x:is>
          <x:t xml:space="preserve">Nitrogen for evaporator; inert gas if method requires</x:t>
        </x:is>
      </x:c>
      <x:c r="N15" s="18" t="inlineStr">
        <x:is>
          <x:t xml:space="preserve">Corrosion-resistant prep bench and dedicated vessels</x:t>
        </x:is>
      </x:c>
      <x:c r="O15" s="18" t="inlineStr">
        <x:is>
          <x:t xml:space="preserve">Existing Multiwave remains available.</x:t>
        </x:is>
      </x:c>
    </x:row>
    <x:row r="16" ht="76" customHeight="1">
      <x:c r="A16" s="18" t="inlineStr">
        <x:is>
          <x:t xml:space="preserve">PREP-01</x:t>
        </x:is>
      </x:c>
      <x:c r="B16" s="18" t="inlineStr">
        <x:is>
          <x:t xml:space="preserve">Sample preparation</x:t>
        </x:is>
      </x:c>
      <x:c r="C16" s="18" t="inlineStr">
        <x:is>
          <x:t xml:space="preserve">FRITSCH</x:t>
        </x:is>
      </x:c>
      <x:c r="D16" s="18" t="inlineStr">
        <x:is>
          <x:t xml:space="preserve">PULVERISETTE 19 low-speed cutting mill, 50-700 rpm, 2.80 mm screen</x:t>
        </x:is>
      </x:c>
      <x:c r="E16" s="17" t="inlineStr">
        <x:is>
          <x:t xml:space="preserve">Launch purchase</x:t>
        </x:is>
      </x:c>
      <x:c r="F16" s="17" t="inlineStr">
        <x:is>
          <x:t xml:space="preserve">PASS - Gafta sample-preparation support</x:t>
        </x:is>
      </x:c>
      <x:c r="G16" s="17" t="inlineStr">
        <x:is>
          <x:t xml:space="preserve">1.0 Preparation of the Sample for Analysis</x:t>
        </x:is>
      </x:c>
      <x:c r="H16" s="18" t="inlineStr">
        <x:is>
          <x:t xml:space="preserve">Best first-stage reduction for larger DDGS lots with less heating. Verify moisture change and trace-metal contamination.</x:t>
        </x:is>
      </x:c>
      <x:c r="I16" s="21" t="inlineStr">
        <x:is>
          <x:t xml:space="preserve">https://www.fritsch-international.com/sample-preparation/milling/cutting-mills/details/product/pulverisette-19-50-700-rpm/</x:t>
        </x:is>
      </x:c>
      <x:c r="J16" s="18" t="inlineStr">
        <x:is>
          <x:t xml:space="preserve">120V/208-240V by evaporator/block</x:t>
        </x:is>
      </x:c>
      <x:c r="K16" s="18" t="inlineStr">
        <x:is>
          <x:t xml:space="preserve">Acid fume hood strongly recommended</x:t>
        </x:is>
      </x:c>
      <x:c r="L16" s="18" t="inlineStr">
        <x:is>
          <x:t xml:space="preserve">Sink and chemical-resistant waste handling</x:t>
        </x:is>
      </x:c>
      <x:c r="M16" s="18" t="inlineStr">
        <x:is>
          <x:t xml:space="preserve">Nitrogen for evaporator; inert gas if method requires</x:t>
        </x:is>
      </x:c>
      <x:c r="N16" s="18" t="inlineStr">
        <x:is>
          <x:t xml:space="preserve">Corrosion-resistant prep bench and dedicated vessels</x:t>
        </x:is>
      </x:c>
      <x:c r="O16" s="18" t="inlineStr">
        <x:is>
          <x:t xml:space="preserve">Existing Multiwave remains available.</x:t>
        </x:is>
      </x:c>
    </x:row>
    <x:row r="17" ht="76" customHeight="1">
      <x:c r="A17" s="18" t="inlineStr">
        <x:is>
          <x:t xml:space="preserve">PREP-04</x:t>
        </x:is>
      </x:c>
      <x:c r="B17" s="18" t="inlineStr">
        <x:is>
          <x:t xml:space="preserve">Sample preparation</x:t>
        </x:is>
      </x:c>
      <x:c r="C17" s="18" t="inlineStr">
        <x:is>
          <x:t xml:space="preserve">FOSS</x:t>
        </x:is>
      </x:c>
      <x:c r="D17" s="18" t="inlineStr">
        <x:is>
          <x:t xml:space="preserve">CT 293 Cyclotec</x:t>
        </x:is>
      </x:c>
      <x:c r="E17" s="17" t="inlineStr">
        <x:is>
          <x:t xml:space="preserve">Budget option</x:t>
        </x:is>
      </x:c>
      <x:c r="F17" s="17" t="inlineStr">
        <x:is>
          <x:t xml:space="preserve">CONDITIONAL PASS</x:t>
        </x:is>
      </x:c>
      <x:c r="G17" s="17" t="inlineStr">
        <x:is>
          <x:t xml:space="preserve">1.0 Preparation of the Sample for Analysis</x:t>
        </x:is>
      </x:c>
      <x:c r="H17" s="18" t="inlineStr">
        <x:is>
          <x:t xml:space="preserve">Good budget fine mill for dry samples; screens include 1.00 mm. Confirm DDGS throughput, cleaning, and mineral contamination.</x:t>
        </x:is>
      </x:c>
      <x:c r="I17" s="21" t="inlineStr">
        <x:is>
          <x:t xml:space="preserve">https://www.fossanalytics.com/en/products/ct-293-cyclotec</x:t>
        </x:is>
      </x:c>
      <x:c r="J17" s="18" t="n"/>
      <x:c r="K17" s="18" t="n"/>
      <x:c r="L17" s="18" t="n"/>
      <x:c r="M17" s="18" t="n"/>
      <x:c r="N17" s="18" t="n"/>
      <x:c r="O17" s="18" t="n"/>
    </x:row>
    <x:row r="18" ht="76" customHeight="1">
      <x:c r="A18" s="18" t="inlineStr">
        <x:is>
          <x:t xml:space="preserve">PREP-05</x:t>
        </x:is>
      </x:c>
      <x:c r="B18" s="18" t="inlineStr">
        <x:is>
          <x:t xml:space="preserve">Sample preparation</x:t>
        </x:is>
      </x:c>
      <x:c r="C18" s="18" t="inlineStr">
        <x:is>
          <x:t xml:space="preserve">RETSCH</x:t>
        </x:is>
      </x:c>
      <x:c r="D18" s="18" t="inlineStr">
        <x:is>
          <x:t xml:space="preserve">PT 100 rotating sample divider + DR 100 feeder</x:t>
        </x:is>
      </x:c>
      <x:c r="E18" s="17" t="inlineStr">
        <x:is>
          <x:t xml:space="preserve">Launch purchase</x:t>
        </x:is>
      </x:c>
      <x:c r="F18" s="17" t="inlineStr">
        <x:is>
          <x:t xml:space="preserve">PASS - Gafta sample-preparation support</x:t>
        </x:is>
      </x:c>
      <x:c r="G18" s="17" t="inlineStr">
        <x:is>
          <x:t xml:space="preserve">1.0 Preparation of the Sample for Analysis</x:t>
        </x:is>
      </x:c>
      <x:c r="H18" s="18" t="inlineStr">
        <x:is>
          <x:t xml:space="preserve">Preferred over scooping. If mycotoxin lots are large, evaluate larger divider capacity.</x:t>
        </x:is>
      </x:c>
      <x:c r="I18" s="21" t="inlineStr">
        <x:is>
          <x:t xml:space="preserve">https://www.retsch.com/products/assisting/sample-divider/pt-100/</x:t>
        </x:is>
      </x:c>
      <x:c r="J18" s="18" t="inlineStr">
        <x:is>
          <x:t xml:space="preserve">120V if motorized</x:t>
        </x:is>
      </x:c>
      <x:c r="K18" s="18" t="inlineStr">
        <x:is>
          <x:t xml:space="preserve">Normal HVAC; control dust</x:t>
        </x:is>
      </x:c>
      <x:c r="L18" s="18" t="inlineStr">
        <x:is>
          <x:t xml:space="preserve">None</x:t>
        </x:is>
      </x:c>
      <x:c r="M18" s="18" t="inlineStr">
        <x:is>
          <x:t xml:space="preserve">None</x:t>
        </x:is>
      </x:c>
      <x:c r="N18" s="18" t="inlineStr">
        <x:is>
          <x:t xml:space="preserve">Bench/stand between mills and analytical lanes</x:t>
        </x:is>
      </x:c>
      <x:c r="O18" s="18" t="inlineStr">
        <x:is>
          <x:t xml:space="preserve">Critical for representative aliquots.</x:t>
        </x:is>
      </x:c>
    </x:row>
    <x:row r="19" ht="76" customHeight="1">
      <x:c r="A19" s="18" t="inlineStr">
        <x:is>
          <x:t xml:space="preserve">PREP-07</x:t>
        </x:is>
      </x:c>
      <x:c r="B19" s="18" t="inlineStr">
        <x:is>
          <x:t xml:space="preserve">Sample preparation</x:t>
        </x:is>
      </x:c>
      <x:c r="C19" s="18" t="inlineStr">
        <x:is>
          <x:t xml:space="preserve">RETSCH</x:t>
        </x:is>
      </x:c>
      <x:c r="D19" s="18" t="inlineStr">
        <x:is>
          <x:t xml:space="preserve">AS 200 basic sieve shaker</x:t>
        </x:is>
      </x:c>
      <x:c r="E19" s="17" t="inlineStr">
        <x:is>
          <x:t xml:space="preserve">Budget option</x:t>
        </x:is>
      </x:c>
      <x:c r="F19" s="17" t="inlineStr">
        <x:is>
          <x:t xml:space="preserve">PASS - Gafta sample-preparation support</x:t>
        </x:is>
      </x:c>
      <x:c r="G19" s="17" t="inlineStr">
        <x:is>
          <x:t xml:space="preserve">1.0 Preparation of the Sample for Analysis</x:t>
        </x:is>
      </x:c>
      <x:c r="H19" s="18" t="inlineStr">
        <x:is>
          <x:t xml:space="preserve">Lower cost than AS 200 control. Acceptable if particle-size checks are simple pass/fail and calibration requirements are manageable.</x:t>
        </x:is>
      </x:c>
      <x:c r="I19" s="21" t="inlineStr">
        <x:is>
          <x:t xml:space="preserve">https://www.retsch.com/products/sieving/sieve-shakers/as-200-basic</x:t>
        </x:is>
      </x:c>
      <x:c r="J19" s="18" t="n"/>
      <x:c r="K19" s="18" t="n"/>
      <x:c r="L19" s="18" t="n"/>
      <x:c r="M19" s="18" t="n"/>
      <x:c r="N19" s="18" t="n"/>
      <x:c r="O19" s="18" t="n"/>
    </x:row>
    <x:row r="20" ht="76" customHeight="1">
      <x:c r="A20" s="18" t="inlineStr">
        <x:is>
          <x:t xml:space="preserve">PREP-08</x:t>
        </x:is>
      </x:c>
      <x:c r="B20" s="18" t="inlineStr">
        <x:is>
          <x:t xml:space="preserve">Sample preparation</x:t>
        </x:is>
      </x:c>
      <x:c r="C20" s="18" t="inlineStr">
        <x:is>
          <x:t xml:space="preserve">Gilson / Humboldt / Advantech</x:t>
        </x:is>
      </x:c>
      <x:c r="D20" s="18" t="inlineStr">
        <x:is>
          <x:t xml:space="preserve">8-inch certified stainless test sieves, pans, lids</x:t>
        </x:is>
      </x:c>
      <x:c r="E20" s="17" t="inlineStr">
        <x:is>
          <x:t xml:space="preserve">Launch purchase</x:t>
        </x:is>
      </x:c>
      <x:c r="F20" s="17" t="inlineStr">
        <x:is>
          <x:t xml:space="preserve">PASS - Gafta sample-preparation support</x:t>
        </x:is>
      </x:c>
      <x:c r="G20" s="17" t="inlineStr">
        <x:is>
          <x:t xml:space="preserve">1.0 Preparation of the Sample for Analysis</x:t>
        </x:is>
      </x:c>
      <x:c r="H20" s="18" t="inlineStr">
        <x:is>
          <x:t xml:space="preserve">Buy working and backup/reference sieves for 1.00 mm and 2.80 mm. Use inspection-grade certification where possible.</x:t>
        </x:is>
      </x:c>
      <x:c r="I20" s="21" t="inlineStr">
        <x:is>
          <x:t xml:space="preserve">https://www.globalgilson.com/8-inch-sieve-all-stainless-full-height-number-18</x:t>
        </x:is>
      </x:c>
      <x:c r="J20" s="18" t="n"/>
      <x:c r="K20" s="18" t="n"/>
      <x:c r="L20" s="18" t="n"/>
      <x:c r="M20" s="18" t="n"/>
      <x:c r="N20" s="18" t="n"/>
      <x:c r="O20" s="18" t="n"/>
    </x:row>
    <x:row r="21" ht="76" customHeight="1">
      <x:c r="A21" s="18" t="inlineStr">
        <x:is>
          <x:t xml:space="preserve">CALC-01</x:t>
        </x:is>
      </x:c>
      <x:c r="B21" s="18" t="inlineStr">
        <x:is>
          <x:t xml:space="preserve">Calculations and reporting</x:t>
        </x:is>
      </x:c>
      <x:c r="C21" s="18" t="inlineStr">
        <x:is>
          <x:t xml:space="preserve">LIMS / spreadsheet / calculation module</x:t>
        </x:is>
      </x:c>
      <x:c r="D21" s="18" t="inlineStr">
        <x:is>
          <x:t xml:space="preserve">Validated calculation template in LIMS</x:t>
        </x:is>
      </x:c>
      <x:c r="E21" s="17" t="inlineStr">
        <x:is>
          <x:t xml:space="preserve">Launch configuration</x:t>
        </x:is>
      </x:c>
      <x:c r="F21" s="17" t="inlineStr">
        <x:is>
          <x:t xml:space="preserve">N/A - no applicable Gafta method listed</x:t>
        </x:is>
      </x:c>
      <x:c r="G21" s="17" t="inlineStr">
        <x:is>
          <x:t xml:space="preserve">Customer-agreed method / controlled calculation</x:t>
        </x:is>
      </x:c>
      <x:c r="H21" s="18" t="inlineStr">
        <x:is>
          <x:t xml:space="preserve">Exact energy equations are not disclosed on the COA. ADF appears to be crude fiber x 1.25 on the provided COA; dry-matter basis equals as-received result divided by dry matter fraction.</x:t>
        </x:is>
      </x:c>
      <x:c r="I21" s="21" t="inlineStr">
        <x:is>
          <x:t xml:space="preserve">User provided COA methods - Calculation</x:t>
        </x:is>
      </x:c>
      <x:c r="J21" s="18" t="n"/>
      <x:c r="K21" s="18" t="n"/>
      <x:c r="L21" s="18" t="n"/>
      <x:c r="M21" s="18" t="n"/>
      <x:c r="N21" s="18" t="n"/>
      <x:c r="O21" s="18" t="n"/>
    </x:row>
  </x:sheetData>
  <x:mergeCells>
    <x:mergeCell ref="A1:O1"/>
    <x:mergeCell ref="A2:O2"/>
  </x:mergeCells>
  <x:hyperlinks>
    <x:hyperlink xmlns:r="http://schemas.openxmlformats.org/officeDocument/2006/relationships" ref="I4" r:id="R310288824dfc4065"/>
    <x:hyperlink xmlns:r="http://schemas.openxmlformats.org/officeDocument/2006/relationships" ref="I5" r:id="R05600c038ceb4bf1"/>
    <x:hyperlink xmlns:r="http://schemas.openxmlformats.org/officeDocument/2006/relationships" ref="I6" r:id="Rc09db06b03ae4f81"/>
    <x:hyperlink xmlns:r="http://schemas.openxmlformats.org/officeDocument/2006/relationships" ref="I7" r:id="R33328546eaee458c"/>
    <x:hyperlink xmlns:r="http://schemas.openxmlformats.org/officeDocument/2006/relationships" ref="I8" r:id="Rb38dc9663e3547ea"/>
    <x:hyperlink xmlns:r="http://schemas.openxmlformats.org/officeDocument/2006/relationships" ref="I9" r:id="Rbc42d3930ae244eb"/>
    <x:hyperlink xmlns:r="http://schemas.openxmlformats.org/officeDocument/2006/relationships" ref="I10" r:id="R6b95a69e7cf8441b"/>
    <x:hyperlink xmlns:r="http://schemas.openxmlformats.org/officeDocument/2006/relationships" ref="I11" r:id="Rfbe55af81b574f40"/>
    <x:hyperlink xmlns:r="http://schemas.openxmlformats.org/officeDocument/2006/relationships" ref="I12" r:id="Raa9d03c0b9e24e9b"/>
    <x:hyperlink xmlns:r="http://schemas.openxmlformats.org/officeDocument/2006/relationships" ref="I13" r:id="R465b22c778924b63"/>
    <x:hyperlink xmlns:r="http://schemas.openxmlformats.org/officeDocument/2006/relationships" ref="I14" r:id="R76739954fda34f48"/>
    <x:hyperlink xmlns:r="http://schemas.openxmlformats.org/officeDocument/2006/relationships" ref="I15" r:id="Rfd739fd6698b4377"/>
    <x:hyperlink xmlns:r="http://schemas.openxmlformats.org/officeDocument/2006/relationships" ref="I16" r:id="R2f2ea150d3d547fc"/>
    <x:hyperlink xmlns:r="http://schemas.openxmlformats.org/officeDocument/2006/relationships" ref="I17" r:id="Rca31e284d247486a"/>
    <x:hyperlink xmlns:r="http://schemas.openxmlformats.org/officeDocument/2006/relationships" ref="I18" r:id="Rc27b3a8a6b3e4ff0"/>
    <x:hyperlink xmlns:r="http://schemas.openxmlformats.org/officeDocument/2006/relationships" ref="I19" r:id="Re8c46926359c4b69"/>
    <x:hyperlink xmlns:r="http://schemas.openxmlformats.org/officeDocument/2006/relationships" ref="I20" r:id="Rd856fc16f0744de0"/>
    <x:hyperlink xmlns:r="http://schemas.openxmlformats.org/officeDocument/2006/relationships" ref="I21" r:id="Re6ed3e64438b4078"/>
  </x:hyperlinks>
  <x:pageMargins left="0.7" right="0.7" top="0.75" bottom="0.75" header="0.3" footer="0.3"/>
  <x:tableParts count="1">
    <x:tablePart xmlns:r="http://schemas.openxmlformats.org/officeDocument/2006/relationships" r:id="Rb27b6d0ccde84c23"/>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0" customWidth="1"/>
    <x:col min="2" max="2" width="18" customWidth="1"/>
    <x:col min="3" max="3" width="36" customWidth="1"/>
    <x:col min="4" max="4" width="34" customWidth="1"/>
    <x:col min="5" max="5" width="44" customWidth="1"/>
    <x:col min="6" max="6" width="34" customWidth="1"/>
    <x:col min="7" max="7" width="30" customWidth="1"/>
    <x:col min="8" max="8" width="42" customWidth="1"/>
    <x:col min="9" max="9" width="42" customWidth="1"/>
    <x:col min="10" max="10" width="22" customWidth="1"/>
  </x:cols>
  <x:sheetData>
    <x:row r="1">
      <x:c r="A1" s="1" t="inlineStr">
        <x:is>
          <x:t xml:space="preserve">Furniture Modules and Selection Notes</x:t>
        </x:is>
      </x:c>
    </x:row>
    <x:row r="3">
      <x:c r="A3" s="10" t="inlineStr">
        <x:is>
          <x:t xml:space="preserve">Module</x:t>
        </x:is>
      </x:c>
      <x:c r="B3" s="10" t="inlineStr">
        <x:is>
          <x:t xml:space="preserve">Size W x D (in)</x:t>
        </x:is>
      </x:c>
      <x:c r="C3" s="10" t="inlineStr">
        <x:is>
          <x:t xml:space="preserve">Typical use</x:t>
        </x:is>
      </x:c>
      <x:c r="D3" s="10" t="inlineStr">
        <x:is>
          <x:t xml:space="preserve">Preferred construction</x:t>
        </x:is>
      </x:c>
      <x:c r="E3" s="10" t="inlineStr">
        <x:is>
          <x:t xml:space="preserve">Floor capacity / notes</x:t>
        </x:is>
      </x:c>
      <x:c r="F3" s="10" t="inlineStr">
        <x:is>
          <x:t xml:space="preserve">Use cabinets?</x:t>
        </x:is>
      </x:c>
      <x:c r="G3" s="10" t="inlineStr">
        <x:is>
          <x:t xml:space="preserve">Source</x:t>
        </x:is>
      </x:c>
      <x:c r="H3" s="10" t="inlineStr">
        <x:is>
          <x:t xml:space="preserve">Source URL</x:t>
        </x:is>
      </x:c>
      <x:c r="I3" s="10" t="inlineStr">
        <x:is>
          <x:t xml:space="preserve">SmartDraw rule</x:t>
        </x:is>
      </x:c>
      <x:c r="J3" s="10" t="inlineStr">
        <x:is>
          <x:t xml:space="preserve">Status</x:t>
        </x:is>
      </x:c>
    </x:row>
    <x:row r="4" ht="64" customHeight="1">
      <x:c r="A4" s="3" t="inlineStr">
        <x:is>
          <x:t xml:space="preserve">Open lab bench - compact</x:t>
        </x:is>
      </x:c>
      <x:c r="B4" s="3" t="inlineStr">
        <x:is>
          <x:t xml:space="preserve">48 x 30</x:t>
        </x:is>
      </x:c>
      <x:c r="C4" s="3" t="inlineStr">
        <x:is>
          <x:t xml:space="preserve">AS200 or compact instrument support</x:t>
        </x:is>
      </x:c>
      <x:c r="D4" s="3" t="inlineStr">
        <x:is>
          <x:t xml:space="preserve">Phenolic top; open frame</x:t>
        </x:is>
      </x:c>
      <x:c r="E4" s="3" t="inlineStr">
        <x:is>
          <x:t xml:space="preserve">Uline lab workbench family is rated 1,000 lb evenly distributed</x:t>
        </x:is>
      </x:c>
      <x:c r="F4" s="3" t="inlineStr">
        <x:is>
          <x:t xml:space="preserve">Only when storage does not obstruct service</x:t>
        </x:is>
      </x:c>
      <x:c r="G4" s="3" t="inlineStr">
        <x:is>
          <x:t xml:space="preserve">Uline Lab Workbenches</x:t>
        </x:is>
      </x:c>
      <x:c r="H4" s="21" t="inlineStr">
        <x:is>
          <x:t xml:space="preserve">https://www.uline.com/BL_3509/Lab-Workbenches</x:t>
        </x:is>
      </x:c>
      <x:c r="I4" s="3" t="inlineStr">
        <x:is>
          <x:t xml:space="preserve">Create each table separately</x:t>
        </x:is>
      </x:c>
      <x:c r="J4" s="3" t="inlineStr">
        <x:is>
          <x:t xml:space="preserve">Approved planning module</x:t>
        </x:is>
      </x:c>
    </x:row>
    <x:row r="5" ht="64" customHeight="1">
      <x:c r="A5" s="3" t="inlineStr">
        <x:is>
          <x:t xml:space="preserve">Open lab bench - medium</x:t>
        </x:is>
      </x:c>
      <x:c r="B5" s="3" t="inlineStr">
        <x:is>
          <x:t xml:space="preserve">60 x 30</x:t>
        </x:is>
      </x:c>
      <x:c r="C5" s="3" t="inlineStr">
        <x:is>
          <x:t xml:space="preserve">Desiccator bench or clean-general bench</x:t>
        </x:is>
      </x:c>
      <x:c r="D5" s="3" t="inlineStr">
        <x:is>
          <x:t xml:space="preserve">Phenolic top; open frame</x:t>
        </x:is>
      </x:c>
      <x:c r="E5" s="3" t="inlineStr">
        <x:is>
          <x:t xml:space="preserve">Uline lab workbench family is rated 1,000 lb evenly distributed</x:t>
        </x:is>
      </x:c>
      <x:c r="F5" s="3" t="inlineStr">
        <x:is>
          <x:t xml:space="preserve">Optional bottom shelf</x:t>
        </x:is>
      </x:c>
      <x:c r="G5" s="3" t="inlineStr">
        <x:is>
          <x:t xml:space="preserve">Uline Lab Workbenches</x:t>
        </x:is>
      </x:c>
      <x:c r="H5" s="21" t="inlineStr">
        <x:is>
          <x:t xml:space="preserve">https://www.uline.com/BL_3509/Lab-Workbenches</x:t>
        </x:is>
      </x:c>
      <x:c r="I5" s="3" t="inlineStr">
        <x:is>
          <x:t xml:space="preserve">Create each table separately</x:t>
        </x:is>
      </x:c>
      <x:c r="J5" s="3" t="inlineStr">
        <x:is>
          <x:t xml:space="preserve">Approved planning module</x:t>
        </x:is>
      </x:c>
    </x:row>
    <x:row r="6" ht="64" customHeight="1">
      <x:c r="A6" s="3" t="inlineStr">
        <x:is>
          <x:t xml:space="preserve">Open lab bench - standard</x:t>
        </x:is>
      </x:c>
      <x:c r="B6" s="3" t="inlineStr">
        <x:is>
          <x:t xml:space="preserve">72 x 30</x:t>
        </x:is>
      </x:c>
      <x:c r="C6" s="3" t="inlineStr">
        <x:is>
          <x:t xml:space="preserve">General clean/wet work</x:t>
        </x:is>
      </x:c>
      <x:c r="D6" s="3" t="inlineStr">
        <x:is>
          <x:t xml:space="preserve">Phenolic top; open frame</x:t>
        </x:is>
      </x:c>
      <x:c r="E6" s="3" t="inlineStr">
        <x:is>
          <x:t xml:space="preserve">Uline lab workbench family is rated 1,000 lb evenly distributed</x:t>
        </x:is>
      </x:c>
      <x:c r="F6" s="3" t="inlineStr">
        <x:is>
          <x:t xml:space="preserve">Cabinet alternative only where utilities are not blocked</x:t>
        </x:is>
      </x:c>
      <x:c r="G6" s="3" t="inlineStr">
        <x:is>
          <x:t xml:space="preserve">Uline Lab Workbenches</x:t>
        </x:is>
      </x:c>
      <x:c r="H6" s="21" t="inlineStr">
        <x:is>
          <x:t xml:space="preserve">https://www.uline.com/BL_3509/Lab-Workbenches</x:t>
        </x:is>
      </x:c>
      <x:c r="I6" s="3" t="inlineStr">
        <x:is>
          <x:t xml:space="preserve">Create each table separately</x:t>
        </x:is>
      </x:c>
      <x:c r="J6" s="3" t="inlineStr">
        <x:is>
          <x:t xml:space="preserve">Approved planning module</x:t>
        </x:is>
      </x:c>
    </x:row>
    <x:row r="7" ht="64" customHeight="1">
      <x:c r="A7" s="3" t="inlineStr">
        <x:is>
          <x:t xml:space="preserve">Open heavy bench</x:t>
        </x:is>
      </x:c>
      <x:c r="B7" s="3" t="inlineStr">
        <x:is>
          <x:t xml:space="preserve">72 x 36</x:t>
        </x:is>
      </x:c>
      <x:c r="C7" s="3" t="inlineStr">
        <x:is>
          <x:t xml:space="preserve">Primary mill or FIWE wet bench</x:t>
        </x:is>
      </x:c>
      <x:c r="D7" s="3" t="inlineStr">
        <x:is>
          <x:t xml:space="preserve">Phenolic top; open frame</x:t>
        </x:is>
      </x:c>
      <x:c r="E7" s="3" t="inlineStr">
        <x:is>
          <x:t xml:space="preserve">Uline lab workbench family is rated 1,000 lb evenly distributed</x:t>
        </x:is>
      </x:c>
      <x:c r="F7" s="3" t="inlineStr">
        <x:is>
          <x:t xml:space="preserve">No cabinet under utility-heavy equipment</x:t>
        </x:is>
      </x:c>
      <x:c r="G7" s="3" t="inlineStr">
        <x:is>
          <x:t xml:space="preserve">Uline Lab Workbenches</x:t>
        </x:is>
      </x:c>
      <x:c r="H7" s="21" t="inlineStr">
        <x:is>
          <x:t xml:space="preserve">https://www.uline.com/BL_3509/Lab-Workbenches</x:t>
        </x:is>
      </x:c>
      <x:c r="I7" s="3" t="inlineStr">
        <x:is>
          <x:t xml:space="preserve">Create each table separately</x:t>
        </x:is>
      </x:c>
      <x:c r="J7" s="3" t="inlineStr">
        <x:is>
          <x:t xml:space="preserve">Approved planning module</x:t>
        </x:is>
      </x:c>
    </x:row>
    <x:row r="8" ht="64" customHeight="1">
      <x:c r="A8" s="3" t="inlineStr">
        <x:is>
          <x:t xml:space="preserve">Long heavy/instrument bench</x:t>
        </x:is>
      </x:c>
      <x:c r="B8" s="3" t="inlineStr">
        <x:is>
          <x:t xml:space="preserve">96 x 36</x:t>
        </x:is>
      </x:c>
      <x:c r="C8" s="3" t="inlineStr">
        <x:is>
          <x:t xml:space="preserve">CT/PT prep bench; LECO; Sykam; clean shared bench</x:t>
        </x:is>
      </x:c>
      <x:c r="D8" s="3" t="inlineStr">
        <x:is>
          <x:t xml:space="preserve">Phenolic top; open frame</x:t>
        </x:is>
      </x:c>
      <x:c r="E8" s="3" t="inlineStr">
        <x:is>
          <x:t xml:space="preserve">Uline lab workbench family is rated 1,000 lb evenly distributed</x:t>
        </x:is>
      </x:c>
      <x:c r="F8" s="3" t="inlineStr">
        <x:is>
          <x:t xml:space="preserve">Cabinets only after OEM service review</x:t>
        </x:is>
      </x:c>
      <x:c r="G8" s="3" t="inlineStr">
        <x:is>
          <x:t xml:space="preserve">Uline Lab Workbenches</x:t>
        </x:is>
      </x:c>
      <x:c r="H8" s="21" t="inlineStr">
        <x:is>
          <x:t xml:space="preserve">https://www.uline.com/BL_3509/Lab-Workbenches</x:t>
        </x:is>
      </x:c>
      <x:c r="I8" s="3" t="inlineStr">
        <x:is>
          <x:t xml:space="preserve">Create each table separately</x:t>
        </x:is>
      </x:c>
      <x:c r="J8" s="3" t="inlineStr">
        <x:is>
          <x:t xml:space="preserve">Approved planning module</x:t>
        </x:is>
      </x:c>
    </x:row>
    <x:row r="9" ht="64" customHeight="1">
      <x:c r="A9" s="3" t="inlineStr">
        <x:is>
          <x:t xml:space="preserve">Lab workstation</x:t>
        </x:is>
      </x:c>
      <x:c r="B9" s="3" t="inlineStr">
        <x:is>
          <x:t xml:space="preserve">60 x 30 or 72 x 30</x:t>
        </x:is>
      </x:c>
      <x:c r="C9" s="3" t="inlineStr">
        <x:is>
          <x:t xml:space="preserve">Monitor/dock and organized consumables</x:t>
        </x:is>
      </x:c>
      <x:c r="D9" s="3" t="inlineStr">
        <x:is>
          <x:t xml:space="preserve">Workstation with monitor/power accessories</x:t>
        </x:is>
      </x:c>
      <x:c r="E9" s="3" t="inlineStr">
        <x:is>
          <x:t xml:space="preserve">Use only where vertical accessories do not block windows or overhead services</x:t>
        </x:is>
      </x:c>
      <x:c r="F9" s="3" t="inlineStr">
        <x:is>
          <x:t xml:space="preserve">Can integrate storage/accessories</x:t>
        </x:is>
      </x:c>
      <x:c r="G9" s="3" t="inlineStr">
        <x:is>
          <x:t xml:space="preserve">Uline Lab Workstations</x:t>
        </x:is>
      </x:c>
      <x:c r="H9" s="21" t="inlineStr">
        <x:is>
          <x:t xml:space="preserve">https://www.uline.com/Grp_748/Lab-Workstations</x:t>
        </x:is>
      </x:c>
      <x:c r="I9" s="3" t="inlineStr">
        <x:is>
          <x:t xml:space="preserve">Computer overlay remains separate</x:t>
        </x:is>
      </x:c>
      <x:c r="J9" s="3" t="inlineStr">
        <x:is>
          <x:t xml:space="preserve">Reference option</x:t>
        </x:is>
      </x:c>
    </x:row>
    <x:row r="10" ht="64" customHeight="1">
      <x:c r="A10" s="3" t="inlineStr">
        <x:is>
          <x:t xml:space="preserve">Lab cabinet bench</x:t>
        </x:is>
      </x:c>
      <x:c r="B10" s="3" t="inlineStr">
        <x:is>
          <x:t xml:space="preserve">48/60/72 x 30</x:t>
        </x:is>
      </x:c>
      <x:c r="C10" s="3" t="inlineStr">
        <x:is>
          <x:t xml:space="preserve">Protected clean supplies and standards</x:t>
        </x:is>
      </x:c>
      <x:c r="D10" s="3" t="inlineStr">
        <x:is>
          <x:t xml:space="preserve">Phenolic top with enclosed cabinet</x:t>
        </x:is>
      </x:c>
      <x:c r="E10" s="3" t="inlineStr">
        <x:is>
          <x:t xml:space="preserve">Cabinet may block utilities, drain traps or service access</x:t>
        </x:is>
      </x:c>
      <x:c r="F10" s="3" t="inlineStr">
        <x:is>
          <x:t xml:space="preserve">Use selectively</x:t>
        </x:is>
      </x:c>
      <x:c r="G10" s="3" t="inlineStr">
        <x:is>
          <x:t xml:space="preserve">Uline Lab Cabinet Workbenches</x:t>
        </x:is>
      </x:c>
      <x:c r="H10" s="21" t="inlineStr">
        <x:is>
          <x:t xml:space="preserve">https://www.uline.com/BL_4572/Lab-Cabinet-Workbenches</x:t>
        </x:is>
      </x:c>
      <x:c r="I10" s="3" t="inlineStr">
        <x:is>
          <x:t xml:space="preserve">Furniture and instrument remain separate</x:t>
        </x:is>
      </x:c>
      <x:c r="J10" s="3" t="inlineStr">
        <x:is>
          <x:t xml:space="preserve">Reference option</x:t>
        </x:is>
      </x:c>
    </x:row>
    <x:row r="11" ht="64" customHeight="1">
      <x:c r="A11" s="3" t="inlineStr">
        <x:is>
          <x:t xml:space="preserve">Dedicated balance table</x:t>
        </x:is>
      </x:c>
      <x:c r="B11" s="3" t="inlineStr">
        <x:is>
          <x:t xml:space="preserve">36 x 30 planning</x:t>
        </x:is>
      </x:c>
      <x:c r="C11" s="3" t="inlineStr">
        <x:is>
          <x:t xml:space="preserve">MA204 analytical balance</x:t>
        </x:is>
      </x:c>
      <x:c r="D11" s="3" t="inlineStr">
        <x:is>
          <x:t xml:space="preserve">Stable/anti-vibration surface</x:t>
        </x:is>
      </x:c>
      <x:c r="E11" s="3" t="inlineStr">
        <x:is>
          <x:t xml:space="preserve">Final selection under METTLER GWP/fit-for-purpose review</x:t>
        </x:is>
      </x:c>
      <x:c r="F11" s="3" t="inlineStr">
        <x:is>
          <x:t xml:space="preserve">No underbench activity that causes vibration</x:t>
        </x:is>
      </x:c>
      <x:c r="G11" s="3" t="inlineStr">
        <x:is>
          <x:t xml:space="preserve">METTLER TOLEDO guidance</x:t>
        </x:is>
      </x:c>
      <x:c r="H11" s="21" t="inlineStr">
        <x:is>
          <x:t xml:space="preserve">https://www.mt.com/us/en/home/products/Laboratory_Weighing_Solutions/analytical-balances.html</x:t>
        </x:is>
      </x:c>
      <x:c r="I11" s="3" t="inlineStr">
        <x:is>
          <x:t xml:space="preserve">Separate table and balance blocks</x:t>
        </x:is>
      </x:c>
      <x:c r="J11" s="3" t="inlineStr">
        <x:is>
          <x:t xml:space="preserve">Planning allowance</x:t>
        </x:is>
      </x:c>
    </x:row>
    <x:row r="12" ht="64" customHeight="1">
      <x:c r="A12" s="3" t="inlineStr">
        <x:is>
          <x:t xml:space="preserve">Heat-rated stand</x:t>
        </x:is>
      </x:c>
      <x:c r="B12" s="3" t="inlineStr">
        <x:is>
          <x:t xml:space="preserve">36 x 30 planning</x:t>
        </x:is>
      </x:c>
      <x:c r="C12" s="3" t="inlineStr">
        <x:is>
          <x:t xml:space="preserve">OGS100 or F6010</x:t>
        </x:is>
      </x:c>
      <x:c r="D12" s="3" t="inlineStr">
        <x:is>
          <x:t xml:space="preserve">Purpose-built noncombustible/heat-rated stand</x:t>
        </x:is>
      </x:c>
      <x:c r="E12" s="3" t="inlineStr">
        <x:is>
          <x:t xml:space="preserve">Do not assume ordinary phenolic bench heat rating is adequate</x:t>
        </x:is>
      </x:c>
      <x:c r="F12" s="3" t="inlineStr">
        <x:is>
          <x:t xml:space="preserve">No cabinet unless OEM allows</x:t>
        </x:is>
      </x:c>
      <x:c r="G12" s="3" t="inlineStr">
        <x:is>
          <x:t xml:space="preserve">OEM/MEP selection</x:t>
        </x:is>
      </x:c>
      <x:c r="H12" s="3" t="inlineStr">
        <x:is>
          <x:t xml:space="preserve"/>
        </x:is>
      </x:c>
      <x:c r="I12" s="3" t="inlineStr">
        <x:is>
          <x:t xml:space="preserve">Separate stand and equipment blocks</x:t>
        </x:is>
      </x:c>
      <x:c r="J12" s="3" t="inlineStr">
        <x:is>
          <x:t xml:space="preserve">Planning allowance</x:t>
        </x:is>
      </x:c>
    </x:row>
    <x:row r="13" ht="64" customHeight="1">
      <x:c r="A13" s="3" t="inlineStr">
        <x:is>
          <x:t xml:space="preserve">Purpose-built hood/fixture</x:t>
        </x:is>
      </x:c>
      <x:c r="B13" s="3" t="inlineStr">
        <x:is>
          <x:t xml:space="preserve">72 or 96 x 36</x:t>
        </x:is>
      </x:c>
      <x:c r="C13" s="3" t="inlineStr">
        <x:is>
          <x:t xml:space="preserve">Soxhlet or acid prep</x:t>
        </x:is>
      </x:c>
      <x:c r="D13" s="3" t="inlineStr">
        <x:is>
          <x:t xml:space="preserve">Selected laboratory hood</x:t>
        </x:is>
      </x:c>
      <x:c r="E13" s="3" t="inlineStr">
        <x:is>
          <x:t xml:space="preserve">Exhaust, sash, utilities and fire/chemical compatibility govern final size</x:t>
        </x:is>
      </x:c>
      <x:c r="F13" s="3" t="inlineStr">
        <x:is>
          <x:t xml:space="preserve">Not a Uline table</x:t>
        </x:is>
      </x:c>
      <x:c r="G13" s="3" t="inlineStr">
        <x:is>
          <x:t xml:space="preserve">MEP/EHS/OEM selection</x:t>
        </x:is>
      </x:c>
      <x:c r="H13" s="3" t="inlineStr">
        <x:is>
          <x:t xml:space="preserve"/>
        </x:is>
      </x:c>
      <x:c r="I13" s="3" t="inlineStr">
        <x:is>
          <x:t xml:space="preserve">Separate hood, equipment and front-clearance envelope</x:t>
        </x:is>
      </x:c>
      <x:c r="J13" s="3" t="inlineStr">
        <x:is>
          <x:t xml:space="preserve">Planning allowance</x:t>
        </x:is>
      </x:c>
    </x:row>
  </x:sheetData>
  <x:mergeCells>
    <x:mergeCell ref="A1:J1"/>
  </x:mergeCells>
  <x:hyperlinks>
    <x:hyperlink xmlns:r="http://schemas.openxmlformats.org/officeDocument/2006/relationships" ref="H4" r:id="R5a20023a419f416c"/>
    <x:hyperlink xmlns:r="http://schemas.openxmlformats.org/officeDocument/2006/relationships" ref="H5" r:id="Rd159ed53e9844af9"/>
    <x:hyperlink xmlns:r="http://schemas.openxmlformats.org/officeDocument/2006/relationships" ref="H6" r:id="Rf5c2125e50354948"/>
    <x:hyperlink xmlns:r="http://schemas.openxmlformats.org/officeDocument/2006/relationships" ref="H7" r:id="R87e64ec82b1a4fb6"/>
    <x:hyperlink xmlns:r="http://schemas.openxmlformats.org/officeDocument/2006/relationships" ref="H8" r:id="Rcc3c857081f84f17"/>
    <x:hyperlink xmlns:r="http://schemas.openxmlformats.org/officeDocument/2006/relationships" ref="H9" r:id="R1f0d032508f5423b"/>
    <x:hyperlink xmlns:r="http://schemas.openxmlformats.org/officeDocument/2006/relationships" ref="H10" r:id="R65257f8f6d1940d6"/>
    <x:hyperlink xmlns:r="http://schemas.openxmlformats.org/officeDocument/2006/relationships" ref="H11" r:id="Rfaba15c3f57b4bf4"/>
  </x:hyperlinks>
  <x:pageMargins left="0.7" right="0.7" top="0.75" bottom="0.75" header="0.3" footer="0.3"/>
  <x:tableParts count="1">
    <x:tablePart xmlns:r="http://schemas.openxmlformats.org/officeDocument/2006/relationships" r:id="R88e67dd4b6bd436a"/>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4" customWidth="1"/>
    <x:col min="2" max="2" width="20" customWidth="1"/>
    <x:col min="3" max="3" width="55" customWidth="1"/>
    <x:col min="4" max="4" width="52" customWidth="1"/>
    <x:col min="5" max="5" width="48" customWidth="1"/>
    <x:col min="6" max="6" width="42" customWidth="1"/>
    <x:col min="7" max="7" width="45" customWidth="1"/>
    <x:col min="8" max="8" width="58" customWidth="1"/>
  </x:cols>
  <x:sheetData>
    <x:row r="1">
      <x:c r="A1" s="1" t="inlineStr">
        <x:is>
          <x:t xml:space="preserve">Scenario B Layout Concepts - draw B1 first</x:t>
        </x:is>
      </x:c>
    </x:row>
    <x:row r="3">
      <x:c r="A3" s="10" t="inlineStr">
        <x:is>
          <x:t xml:space="preserve">Concept</x:t>
        </x:is>
      </x:c>
      <x:c r="B3" s="10" t="inlineStr">
        <x:is>
          <x:t xml:space="preserve">Priority</x:t>
        </x:is>
      </x:c>
      <x:c r="C3" s="10" t="inlineStr">
        <x:is>
          <x:t xml:space="preserve">Core arrangement</x:t>
        </x:is>
      </x:c>
      <x:c r="D3" s="10" t="inlineStr">
        <x:is>
          <x:t xml:space="preserve">Wet/plumbing logic</x:t>
        </x:is>
      </x:c>
      <x:c r="E3" s="10" t="inlineStr">
        <x:is>
          <x:t xml:space="preserve">Window-wall approach</x:t>
        </x:is>
      </x:c>
      <x:c r="F3" s="10" t="inlineStr">
        <x:is>
          <x:t xml:space="preserve">Thermal assumption</x:t>
        </x:is>
      </x:c>
      <x:c r="G3" s="10" t="inlineStr">
        <x:is>
          <x:t xml:space="preserve">When to use</x:t>
        </x:is>
      </x:c>
      <x:c r="H3" s="10" t="inlineStr">
        <x:is>
          <x:t xml:space="preserve">Codex instruction</x:t>
        </x:is>
      </x:c>
    </x:row>
    <x:row r="4" ht="120" customHeight="1">
      <x:c r="A4" s="3" t="inlineStr">
        <x:is>
          <x:t xml:space="preserve">B1 - Utility spine + central clean/instrument arrangement</x:t>
        </x:is>
      </x:c>
      <x:c r="B4" s="25" t="inlineStr">
        <x:is>
          <x:t xml:space="preserve">FIRST / RECOMMENDED</x:t>
        </x:is>
      </x:c>
      <x:c r="C4" s="3" t="inlineStr">
        <x:is>
          <x:t xml:space="preserve">Wash, FIWE, Soxhlet and AA prep concentrated along east utility side; prep toward northwest; clean benches/instruments central or east</x:t>
        </x:is>
      </x:c>
      <x:c r="D4" s="3" t="inlineStr">
        <x:is>
          <x:t xml:space="preserve">Minimize new drain runs and keep accessible manifold at wash station</x:t>
        </x:is>
      </x:c>
      <x:c r="E4" s="3" t="inlineStr">
        <x:is>
          <x:t xml:space="preserve">Use freestanding benches near windows with ceiling power/data; avoid tall cabinets at glazing</x:t>
        </x:is>
      </x:c>
      <x:c r="F4" s="3" t="inlineStr">
        <x:is>
          <x:t xml:space="preserve">Show oven/furnace near north/Drying Room interface and keep movable pending location decision</x:t>
        </x:is>
      </x:c>
      <x:c r="G4" s="3" t="inlineStr">
        <x:is>
          <x:t xml:space="preserve">Best initial Scenario B test; lowest risk of utility sprawl</x:t>
        </x:is>
      </x:c>
      <x:c r="H4" s="3" t="inlineStr">
        <x:is>
          <x:t xml:space="preserve">Create object library, then place required objects into B1 only. Stop for audit before B2/B3.</x:t>
        </x:is>
      </x:c>
    </x:row>
    <x:row r="5" ht="120" customHeight="1">
      <x:c r="A5" s="3" t="inlineStr">
        <x:is>
          <x:t xml:space="preserve">B2 - Perimeter benches + central clean island</x:t>
        </x:is>
      </x:c>
      <x:c r="B5" s="26" t="inlineStr">
        <x:is>
          <x:t xml:space="preserve">LATER</x:t>
        </x:is>
      </x:c>
      <x:c r="C5" s="3" t="inlineStr">
        <x:is>
          <x:t xml:space="preserve">More perimeter benching on solid wall segments; one central clean island</x:t>
        </x:is>
      </x:c>
      <x:c r="D5" s="3" t="inlineStr">
        <x:is>
          <x:t xml:space="preserve">East wet spine remains fixed; longer overhead service runs may be needed</x:t>
        </x:is>
      </x:c>
      <x:c r="E5" s="3" t="inlineStr">
        <x:is>
          <x:t xml:space="preserve">Window-side benches allowed but no wall-service assumption</x:t>
        </x:is>
      </x:c>
      <x:c r="F5" s="3" t="inlineStr">
        <x:is>
          <x:t xml:space="preserve">Same thermal decision as B1</x:t>
        </x:is>
      </x:c>
      <x:c r="G5" s="3" t="inlineStr">
        <x:is>
          <x:t xml:space="preserve">Use if B1 circulation or central congestion is poor</x:t>
        </x:is>
      </x:c>
      <x:c r="H5" s="3" t="inlineStr">
        <x:is>
          <x:t xml:space="preserve">Build only after B1 audit using the same object library.</x:t>
        </x:is>
      </x:c>
    </x:row>
    <x:row r="6" ht="120" customHeight="1">
      <x:c r="A6" s="3" t="inlineStr">
        <x:is>
          <x:t xml:space="preserve">B3 - East utility peninsula</x:t>
        </x:is>
      </x:c>
      <x:c r="B6" s="26" t="inlineStr">
        <x:is>
          <x:t xml:space="preserve">LATER / CONDITIONAL</x:t>
        </x:is>
      </x:c>
      <x:c r="C6" s="3" t="inlineStr">
        <x:is>
          <x:t xml:space="preserve">Wet peninsula extends from east utility hub; prep west; clean island south/center</x:t>
        </x:is>
      </x:c>
      <x:c r="D6" s="3" t="inlineStr">
        <x:is>
          <x:t xml:space="preserve">Could shorten wet workflow but may require difficult drain routing</x:t>
        </x:is>
      </x:c>
      <x:c r="E6" s="3" t="inlineStr">
        <x:is>
          <x:t xml:space="preserve">Keep window walls open and use ceiling drops</x:t>
        </x:is>
      </x:c>
      <x:c r="F6" s="3" t="inlineStr">
        <x:is>
          <x:t xml:space="preserve">Same thermal decision as B1</x:t>
        </x:is>
      </x:c>
      <x:c r="G6" s="3" t="inlineStr">
        <x:is>
          <x:t xml:space="preserve">Use only if MEP confirms maintainable peninsula drain/utility routing</x:t>
        </x:is>
      </x:c>
      <x:c r="H6" s="3" t="inlineStr">
        <x:is>
          <x:t xml:space="preserve">Build only after B1/B2 review and MEP feasibility input.</x:t>
        </x:is>
      </x:c>
    </x:row>
  </x:sheetData>
  <x:mergeCells>
    <x:mergeCell ref="A1:H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4" customWidth="1"/>
    <x:col min="2" max="2" width="24" customWidth="1"/>
    <x:col min="3" max="3" width="44" customWidth="1"/>
    <x:col min="4" max="4" width="70" customWidth="1"/>
    <x:col min="5" max="5" width="60" customWidth="1"/>
  </x:cols>
  <x:sheetData>
    <x:row r="1">
      <x:c r="A1" s="1" t="inlineStr">
        <x:is>
          <x:t xml:space="preserve">Source Register</x:t>
        </x:is>
      </x:c>
    </x:row>
    <x:row r="3">
      <x:c r="A3" s="10" t="inlineStr">
        <x:is>
          <x:t xml:space="preserve">Source ID</x:t>
        </x:is>
      </x:c>
      <x:c r="B3" s="10" t="inlineStr">
        <x:is>
          <x:t xml:space="preserve">Source type</x:t>
        </x:is>
      </x:c>
      <x:c r="C3" s="10" t="inlineStr">
        <x:is>
          <x:t xml:space="preserve">Title / item</x:t>
        </x:is>
      </x:c>
      <x:c r="D3" s="10" t="inlineStr">
        <x:is>
          <x:t xml:space="preserve">URL or file name</x:t>
        </x:is>
      </x:c>
      <x:c r="E3" s="10" t="inlineStr">
        <x:is>
          <x:t xml:space="preserve">Use in schedule</x:t>
        </x:is>
      </x:c>
    </x:row>
    <x:row r="4" ht="52" customHeight="1">
      <x:c r="A4" s="3" t="inlineStr">
        <x:is>
          <x:t xml:space="preserve">S-001</x:t>
        </x:is>
      </x:c>
      <x:c r="B4" s="3" t="inlineStr">
        <x:is>
          <x:t xml:space="preserve">User file</x:t>
        </x:is>
      </x:c>
      <x:c r="C4" s="3" t="inlineStr">
        <x:is>
          <x:t xml:space="preserve">DDGS instrument options, Scenario B and site requirements</x:t>
        </x:is>
      </x:c>
      <x:c r="D4" s="3" t="inlineStr">
        <x:is>
          <x:t xml:space="preserve">DDGS_instrument_options_GAFTA_strict_v3 (1).xlsx</x:t>
        </x:is>
      </x:c>
      <x:c r="E4" s="3" t="inlineStr">
        <x:is>
          <x:t xml:space="preserve">Scenario B inclusion, methods, utilities and furniture/site needs</x:t>
        </x:is>
      </x:c>
    </x:row>
    <x:row r="5" ht="52" customHeight="1">
      <x:c r="A5" s="3" t="inlineStr">
        <x:is>
          <x:t xml:space="preserve">S-002</x:t>
        </x:is>
      </x:c>
      <x:c r="B5" s="3" t="inlineStr">
        <x:is>
          <x:t xml:space="preserve">User file</x:t>
        </x:is>
      </x:c>
      <x:c r="C5" s="3" t="inlineStr">
        <x:is>
          <x:t xml:space="preserve">LECO quotation 144186-0</x:t>
        </x:is>
      </x:c>
      <x:c r="D5" s="3" t="inlineStr">
        <x:is>
          <x:t xml:space="preserve">144186 FP828P-MC.pdf</x:t>
        </x:is>
      </x:c>
      <x:c r="E5" s="3" t="inlineStr">
        <x:is>
          <x:t xml:space="preserve">FP828 package includes autoloader, boom touchscreen, PC and quoted Sartorius balance</x:t>
        </x:is>
      </x:c>
    </x:row>
    <x:row r="6" ht="52" customHeight="1">
      <x:c r="A6" s="3" t="inlineStr">
        <x:is>
          <x:t xml:space="preserve">S-003</x:t>
        </x:is>
      </x:c>
      <x:c r="B6" s="3" t="inlineStr">
        <x:is>
          <x:t xml:space="preserve">AIT project input</x:t>
        </x:is>
      </x:c>
      <x:c r="C6" s="3" t="inlineStr">
        <x:is>
          <x:t xml:space="preserve">Room 114 annotated plumbing/window constraints</x:t>
        </x:is>
      </x:c>
      <x:c r="D6" s="3" t="inlineStr">
        <x:is>
          <x:t xml:space="preserve">AIT_DDGS_Future_Space_Annotated_Plumbing_Window_Walls.pdf</x:t>
        </x:is>
      </x:c>
      <x:c r="E6" s="3" t="inlineStr">
        <x:is>
          <x:t xml:space="preserve">East plumbing hub; southwest and south window walls</x:t>
        </x:is>
      </x:c>
    </x:row>
    <x:row r="7" ht="52" customHeight="1">
      <x:c r="A7" s="3" t="inlineStr">
        <x:is>
          <x:t xml:space="preserve">S-004</x:t>
        </x:is>
      </x:c>
      <x:c r="B7" s="3" t="inlineStr">
        <x:is>
          <x:t xml:space="preserve">Official web</x:t>
        </x:is>
      </x:c>
      <x:c r="C7" s="3" t="inlineStr">
        <x:is>
          <x:t xml:space="preserve">Uline Lab Workbenches</x:t>
        </x:is>
      </x:c>
      <x:c r="D7" s="21" t="inlineStr">
        <x:is>
          <x:t xml:space="preserve">https://www.uline.com/BL_3509/Lab-Workbenches</x:t>
        </x:is>
      </x:c>
      <x:c r="E7" s="3" t="inlineStr">
        <x:is>
          <x:t xml:space="preserve">48 x 30, 60 x 30, 72 x 30, 72 x 36 and 96 x 36 modules; 1,000-lb family</x:t>
        </x:is>
      </x:c>
    </x:row>
    <x:row r="8" ht="52" customHeight="1">
      <x:c r="A8" s="3" t="inlineStr">
        <x:is>
          <x:t xml:space="preserve">S-005</x:t>
        </x:is>
      </x:c>
      <x:c r="B8" s="3" t="inlineStr">
        <x:is>
          <x:t xml:space="preserve">Official web</x:t>
        </x:is>
      </x:c>
      <x:c r="C8" s="3" t="inlineStr">
        <x:is>
          <x:t xml:space="preserve">Uline Lab Workstations</x:t>
        </x:is>
      </x:c>
      <x:c r="D8" s="21" t="inlineStr">
        <x:is>
          <x:t xml:space="preserve">https://www.uline.com/Grp_748/Lab-Workstations</x:t>
        </x:is>
      </x:c>
      <x:c r="E8" s="3" t="inlineStr">
        <x:is>
          <x:t xml:space="preserve">Computer/monitor and organized-consumable workstation reference</x:t>
        </x:is>
      </x:c>
    </x:row>
    <x:row r="9" ht="52" customHeight="1">
      <x:c r="A9" s="3" t="inlineStr">
        <x:is>
          <x:t xml:space="preserve">S-006</x:t>
        </x:is>
      </x:c>
      <x:c r="B9" s="3" t="inlineStr">
        <x:is>
          <x:t xml:space="preserve">Official web</x:t>
        </x:is>
      </x:c>
      <x:c r="C9" s="3" t="inlineStr">
        <x:is>
          <x:t xml:space="preserve">Uline Lab Cabinet Workbenches</x:t>
        </x:is>
      </x:c>
      <x:c r="D9" s="21" t="inlineStr">
        <x:is>
          <x:t xml:space="preserve">https://www.uline.com/BL_4572/Lab-Cabinet-Workbenches</x:t>
        </x:is>
      </x:c>
      <x:c r="E9" s="3" t="inlineStr">
        <x:is>
          <x:t xml:space="preserve">Cabinet workbench reference</x:t>
        </x:is>
      </x:c>
    </x:row>
    <x:row r="10" ht="52" customHeight="1">
      <x:c r="A10" s="3" t="inlineStr">
        <x:is>
          <x:t xml:space="preserve">S-007</x:t>
        </x:is>
      </x:c>
      <x:c r="B10" s="3" t="inlineStr">
        <x:is>
          <x:t xml:space="preserve">Official web</x:t>
        </x:is>
      </x:c>
      <x:c r="C10" s="3" t="inlineStr">
        <x:is>
          <x:t xml:space="preserve">Thermo Evolution One</x:t>
        </x:is>
      </x:c>
      <x:c r="D10" s="21" t="inlineStr">
        <x:is>
          <x:t xml:space="preserve">https://www.thermofisher.com/us/en/home/industrial/spectroscopy-elemental-isotope-analysis/molecular-spectroscopy/uv-vis-spectrophotometry/instruments/evolution-uv-vis-spectrophotometer.html</x:t>
        </x:is>
      </x:c>
      <x:c r="E10" s="3" t="inlineStr">
        <x:is>
          <x:t xml:space="preserve">Body dimensions and electrical</x:t>
        </x:is>
      </x:c>
    </x:row>
    <x:row r="11" ht="52" customHeight="1">
      <x:c r="A11" s="3" t="inlineStr">
        <x:is>
          <x:t xml:space="preserve">S-008</x:t>
        </x:is>
      </x:c>
      <x:c r="B11" s="3" t="inlineStr">
        <x:is>
          <x:t xml:space="preserve">Official web</x:t>
        </x:is>
      </x:c>
      <x:c r="C11" s="3" t="inlineStr">
        <x:is>
          <x:t xml:space="preserve">Rudolph AUTOPOL I</x:t>
        </x:is>
      </x:c>
      <x:c r="D11" s="21" t="inlineStr">
        <x:is>
          <x:t xml:space="preserve">https://rudolphresearch.com/products/polarimeters/autopol-i/</x:t>
        </x:is>
      </x:c>
      <x:c r="E11" s="3" t="inlineStr">
        <x:is>
          <x:t xml:space="preserve">Body dimensions and electrical</x:t>
        </x:is>
      </x:c>
    </x:row>
    <x:row r="12" ht="52" customHeight="1">
      <x:c r="A12" s="3" t="inlineStr">
        <x:is>
          <x:t xml:space="preserve">S-009</x:t>
        </x:is>
      </x:c>
      <x:c r="B12" s="3" t="inlineStr">
        <x:is>
          <x:t xml:space="preserve">Official web</x:t>
        </x:is>
      </x:c>
      <x:c r="C12" s="3" t="inlineStr">
        <x:is>
          <x:t xml:space="preserve">HunterLab ColorFlex EZ</x:t>
        </x:is>
      </x:c>
      <x:c r="D12" s="21" t="inlineStr">
        <x:is>
          <x:t xml:space="preserve">https://www.hunterlab.com/en/products/benchtop-spectrophotometers/colorflex-ez/</x:t>
        </x:is>
      </x:c>
      <x:c r="E12" s="3" t="inlineStr">
        <x:is>
          <x:t xml:space="preserve">Body dimensions and electrical</x:t>
        </x:is>
      </x:c>
    </x:row>
    <x:row r="13" ht="52" customHeight="1">
      <x:c r="A13" s="3" t="inlineStr">
        <x:is>
          <x:t xml:space="preserve">S-010</x:t>
        </x:is>
      </x:c>
      <x:c r="B13" s="3" t="inlineStr">
        <x:is>
          <x:t xml:space="preserve">Official web</x:t>
        </x:is>
      </x:c>
      <x:c r="C13" s="3" t="inlineStr">
        <x:is>
          <x:t xml:space="preserve">Copley JVi Series</x:t>
        </x:is>
      </x:c>
      <x:c r="D13" s="21" t="inlineStr">
        <x:is>
          <x:t xml:space="preserve">https://www.copleyscientific.com/pharmaceutical-testing/powder-testing/tapped-density-jvi-series/</x:t>
        </x:is>
      </x:c>
      <x:c r="E13" s="3" t="inlineStr">
        <x:is>
          <x:t xml:space="preserve">JV120i/JV220i dimensions</x:t>
        </x:is>
      </x:c>
    </x:row>
    <x:row r="14" ht="52" customHeight="1">
      <x:c r="A14" s="3" t="inlineStr">
        <x:is>
          <x:t xml:space="preserve">S-011</x:t>
        </x:is>
      </x:c>
      <x:c r="B14" s="3" t="inlineStr">
        <x:is>
          <x:t xml:space="preserve">Official web</x:t>
        </x:is>
      </x:c>
      <x:c r="C14" s="3" t="inlineStr">
        <x:is>
          <x:t xml:space="preserve">Thermo Heratherm OGS100</x:t>
        </x:is>
      </x:c>
      <x:c r="D14" s="21" t="inlineStr">
        <x:is>
          <x:t xml:space="preserve">https://www.thermofisher.com/order/catalog/product/51028112</x:t>
        </x:is>
      </x:c>
      <x:c r="E14" s="3" t="inlineStr">
        <x:is>
          <x:t xml:space="preserve">Body dimensions and electrical</x:t>
        </x:is>
      </x:c>
    </x:row>
    <x:row r="15" ht="52" customHeight="1">
      <x:c r="A15" s="3" t="inlineStr">
        <x:is>
          <x:t xml:space="preserve">S-012</x:t>
        </x:is>
      </x:c>
      <x:c r="B15" s="3" t="inlineStr">
        <x:is>
          <x:t xml:space="preserve">Official web</x:t>
        </x:is>
      </x:c>
      <x:c r="C15" s="3" t="inlineStr">
        <x:is>
          <x:t xml:space="preserve">Thermolyne F6010</x:t>
        </x:is>
      </x:c>
      <x:c r="D15" s="21" t="inlineStr">
        <x:is>
          <x:t xml:space="preserve">https://www.thermofisher.com/order/catalog/product/F6010</x:t>
        </x:is>
      </x:c>
      <x:c r="E15" s="3" t="inlineStr">
        <x:is>
          <x:t xml:space="preserve">Body dimensions and electrical</x:t>
        </x:is>
      </x:c>
    </x:row>
    <x:row r="16" ht="52" customHeight="1">
      <x:c r="A16" s="3" t="inlineStr">
        <x:is>
          <x:t xml:space="preserve">S-013</x:t>
        </x:is>
      </x:c>
      <x:c r="B16" s="3" t="inlineStr">
        <x:is>
          <x:t xml:space="preserve">Official web</x:t>
        </x:is>
      </x:c>
      <x:c r="C16" s="3" t="inlineStr">
        <x:is>
          <x:t xml:space="preserve">LECO 828 Series</x:t>
        </x:is>
      </x:c>
      <x:c r="D16" s="21" t="inlineStr">
        <x:is>
          <x:t xml:space="preserve">https://www.leco.com/products/828-series/</x:t>
        </x:is>
      </x:c>
      <x:c r="E16" s="3" t="inlineStr">
        <x:is>
          <x:t xml:space="preserve">Autoloader/touchscreen/product configuration context</x:t>
        </x:is>
      </x:c>
    </x:row>
    <x:row r="17" ht="52" customHeight="1">
      <x:c r="A17" s="3" t="inlineStr">
        <x:is>
          <x:t xml:space="preserve">S-014</x:t>
        </x:is>
      </x:c>
      <x:c r="B17" s="3" t="inlineStr">
        <x:is>
          <x:t xml:space="preserve">Official web</x:t>
        </x:is>
      </x:c>
      <x:c r="C17" s="3" t="inlineStr">
        <x:is>
          <x:t xml:space="preserve">VELP FIWE 6</x:t>
        </x:is>
      </x:c>
      <x:c r="D17" s="21" t="inlineStr">
        <x:is>
          <x:t xml:space="preserve">https://www.velp.com/en-ww/fiwe-fiber-analyzers.aspx</x:t>
        </x:is>
      </x:c>
      <x:c r="E17" s="3" t="inlineStr">
        <x:is>
          <x:t xml:space="preserve">Body dimensions, power and outlets</x:t>
        </x:is>
      </x:c>
    </x:row>
    <x:row r="18" ht="52" customHeight="1">
      <x:c r="A18" s="3" t="inlineStr">
        <x:is>
          <x:t xml:space="preserve">S-015</x:t>
        </x:is>
      </x:c>
      <x:c r="B18" s="3" t="inlineStr">
        <x:is>
          <x:t xml:space="preserve">Official web</x:t>
        </x:is>
      </x:c>
      <x:c r="C18" s="3" t="inlineStr">
        <x:is>
          <x:t xml:space="preserve">Sykam S 433</x:t>
        </x:is>
      </x:c>
      <x:c r="D18" s="21" t="inlineStr">
        <x:is>
          <x:t xml:space="preserve">https://sykam.com/product/amino-acid-analyzers/s-433-amino-acid-analyzer/</x:t>
        </x:is>
      </x:c>
      <x:c r="E18" s="3" t="inlineStr">
        <x:is>
          <x:t xml:space="preserve">Modular analyzer basis; exact configured footprint still needed</x:t>
        </x:is>
      </x:c>
    </x:row>
    <x:row r="19" ht="52" customHeight="1">
      <x:c r="A19" s="3" t="inlineStr">
        <x:is>
          <x:t xml:space="preserve">S-016</x:t>
        </x:is>
      </x:c>
      <x:c r="B19" s="3" t="inlineStr">
        <x:is>
          <x:t xml:space="preserve">Official web</x:t>
        </x:is>
      </x:c>
      <x:c r="C19" s="3" t="inlineStr">
        <x:is>
          <x:t xml:space="preserve">FRITSCH PULVERISETTE 19 low speed</x:t>
        </x:is>
      </x:c>
      <x:c r="D19" s="21" t="inlineStr">
        <x:is>
          <x:t xml:space="preserve">https://www.fritsch-international.com/sample-preparation/milling/cutting-mills/details/product/pulverisette-19-50-700-rpm/technical-details/</x:t>
        </x:is>
      </x:c>
      <x:c r="E19" s="3" t="inlineStr">
        <x:is>
          <x:t xml:space="preserve">Body dimensions and voltage options</x:t>
        </x:is>
      </x:c>
    </x:row>
    <x:row r="20" ht="52" customHeight="1">
      <x:c r="A20" s="3" t="inlineStr">
        <x:is>
          <x:t xml:space="preserve">S-017</x:t>
        </x:is>
      </x:c>
      <x:c r="B20" s="3" t="inlineStr">
        <x:is>
          <x:t xml:space="preserve">Official web</x:t>
        </x:is>
      </x:c>
      <x:c r="C20" s="3" t="inlineStr">
        <x:is>
          <x:t xml:space="preserve">FOSS CT 293</x:t>
        </x:is>
      </x:c>
      <x:c r="D20" s="21" t="inlineStr">
        <x:is>
          <x:t xml:space="preserve">https://www.fossanalytics.com/en/products/ct-293-cyclotec</x:t>
        </x:is>
      </x:c>
      <x:c r="E20" s="3" t="inlineStr">
        <x:is>
          <x:t xml:space="preserve">Body dimensions and electrical</x:t>
        </x:is>
      </x:c>
    </x:row>
    <x:row r="21" ht="52" customHeight="1">
      <x:c r="A21" s="3" t="inlineStr">
        <x:is>
          <x:t xml:space="preserve">S-018</x:t>
        </x:is>
      </x:c>
      <x:c r="B21" s="3" t="inlineStr">
        <x:is>
          <x:t xml:space="preserve">Official web</x:t>
        </x:is>
      </x:c>
      <x:c r="C21" s="3" t="inlineStr">
        <x:is>
          <x:t xml:space="preserve">RETSCH PT 100</x:t>
        </x:is>
      </x:c>
      <x:c r="D21" s="21" t="inlineStr">
        <x:is>
          <x:t xml:space="preserve">https://www.retsch.com/products/assisting/sample-divider/pt-100/</x:t>
        </x:is>
      </x:c>
      <x:c r="E21" s="3" t="inlineStr">
        <x:is>
          <x:t xml:space="preserve">Configured dimensions with DR100 and electrical</x:t>
        </x:is>
      </x:c>
    </x:row>
    <x:row r="22" ht="52" customHeight="1">
      <x:c r="A22" s="3" t="inlineStr">
        <x:is>
          <x:t xml:space="preserve">S-019</x:t>
        </x:is>
      </x:c>
      <x:c r="B22" s="3" t="inlineStr">
        <x:is>
          <x:t xml:space="preserve">Official web</x:t>
        </x:is>
      </x:c>
      <x:c r="C22" s="3" t="inlineStr">
        <x:is>
          <x:t xml:space="preserve">RETSCH AS 200 basic</x:t>
        </x:is>
      </x:c>
      <x:c r="D22" s="21" t="inlineStr">
        <x:is>
          <x:t xml:space="preserve">https://www.retsch.com/products/sieving/sieve-shakers/as-200-basic</x:t>
        </x:is>
      </x:c>
      <x:c r="E22" s="3" t="inlineStr">
        <x:is>
          <x:t xml:space="preserve">Base dimensions and sieve-stack height</x:t>
        </x:is>
      </x:c>
    </x:row>
    <x:row r="23" ht="52" customHeight="1">
      <x:c r="A23" s="3" t="inlineStr">
        <x:is>
          <x:t xml:space="preserve">S-020</x:t>
        </x:is>
      </x:c>
      <x:c r="B23" s="3" t="inlineStr">
        <x:is>
          <x:t xml:space="preserve">Official web</x:t>
        </x:is>
      </x:c>
      <x:c r="C23" s="3" t="inlineStr">
        <x:is>
          <x:t xml:space="preserve">METTLER TOLEDO analytical balances</x:t>
        </x:is>
      </x:c>
      <x:c r="D23" s="21" t="inlineStr">
        <x:is>
          <x:t xml:space="preserve">https://www.mt.com/us/en/home/products/Laboratory_Weighing_Solutions/analytical-balances.html</x:t>
        </x:is>
      </x:c>
      <x:c r="E23" s="3" t="inlineStr">
        <x:is>
          <x:t xml:space="preserve">Balance environmental/fit-for-purpose guidance</x:t>
        </x:is>
      </x:c>
    </x:row>
    <x:row r="24" ht="52" customHeight="1">
      <x:c r="A24" s="3" t="inlineStr">
        <x:is>
          <x:t xml:space="preserve">S-021</x:t>
        </x:is>
      </x:c>
      <x:c r="B24" s="3" t="inlineStr">
        <x:is>
          <x:t xml:space="preserve">Manufacturer distributor listing</x:t>
        </x:is>
      </x:c>
      <x:c r="C24" s="3" t="inlineStr">
        <x:is>
          <x:t xml:space="preserve">METTLER TOLEDO MA204 exact model</x:t>
        </x:is>
      </x:c>
      <x:c r="D24" s="21" t="inlineStr">
        <x:is>
          <x:t xml:space="preserve">https://www.labfriend.de/mettler-toledo-analytical-balance-ma204</x:t>
        </x:is>
      </x:c>
      <x:c r="E24" s="3" t="inlineStr">
        <x:is>
          <x:t xml:space="preserve">MA204 P/N 30697411 dimensions and capacity/readability</x:t>
        </x:is>
      </x:c>
    </x:row>
  </x:sheetData>
  <x:mergeCells>
    <x:mergeCell ref="A1:E1"/>
  </x:mergeCells>
  <x:hyperlinks>
    <x:hyperlink xmlns:r="http://schemas.openxmlformats.org/officeDocument/2006/relationships" ref="D7" r:id="R4d32ec432da641af"/>
    <x:hyperlink xmlns:r="http://schemas.openxmlformats.org/officeDocument/2006/relationships" ref="D8" r:id="Rc1103901391d4e21"/>
    <x:hyperlink xmlns:r="http://schemas.openxmlformats.org/officeDocument/2006/relationships" ref="D9" r:id="R53541706935d495d"/>
    <x:hyperlink xmlns:r="http://schemas.openxmlformats.org/officeDocument/2006/relationships" ref="D10" r:id="Rb4d43cf610394566"/>
    <x:hyperlink xmlns:r="http://schemas.openxmlformats.org/officeDocument/2006/relationships" ref="D11" r:id="R00b83e06e5504166"/>
    <x:hyperlink xmlns:r="http://schemas.openxmlformats.org/officeDocument/2006/relationships" ref="D12" r:id="R5b2051a20f594dce"/>
    <x:hyperlink xmlns:r="http://schemas.openxmlformats.org/officeDocument/2006/relationships" ref="D13" r:id="R020447df315545ea"/>
    <x:hyperlink xmlns:r="http://schemas.openxmlformats.org/officeDocument/2006/relationships" ref="D14" r:id="R82c438ad632043c4"/>
    <x:hyperlink xmlns:r="http://schemas.openxmlformats.org/officeDocument/2006/relationships" ref="D15" r:id="R395544e9595544d6"/>
    <x:hyperlink xmlns:r="http://schemas.openxmlformats.org/officeDocument/2006/relationships" ref="D16" r:id="R14d46fa1ac7d41ac"/>
    <x:hyperlink xmlns:r="http://schemas.openxmlformats.org/officeDocument/2006/relationships" ref="D17" r:id="Ra95730b135364d45"/>
    <x:hyperlink xmlns:r="http://schemas.openxmlformats.org/officeDocument/2006/relationships" ref="D18" r:id="Re7ec6638eed046e6"/>
    <x:hyperlink xmlns:r="http://schemas.openxmlformats.org/officeDocument/2006/relationships" ref="D19" r:id="R14a663868eab44a0"/>
    <x:hyperlink xmlns:r="http://schemas.openxmlformats.org/officeDocument/2006/relationships" ref="D20" r:id="Rcae118027bfa4be3"/>
    <x:hyperlink xmlns:r="http://schemas.openxmlformats.org/officeDocument/2006/relationships" ref="D21" r:id="R0c8d6b577be24904"/>
    <x:hyperlink xmlns:r="http://schemas.openxmlformats.org/officeDocument/2006/relationships" ref="D22" r:id="R931dadd085c3485f"/>
    <x:hyperlink xmlns:r="http://schemas.openxmlformats.org/officeDocument/2006/relationships" ref="D23" r:id="R91763039abbd4340"/>
    <x:hyperlink xmlns:r="http://schemas.openxmlformats.org/officeDocument/2006/relationships" ref="D24" r:id="R6f9c9f6259f240c3"/>
  </x:hyperlinks>
  <x:pageMargins left="0.7" right="0.7" top="0.75" bottom="0.75" header="0.3" footer="0.3"/>
  <x:tableParts count="1">
    <x:tablePart xmlns:r="http://schemas.openxmlformats.org/officeDocument/2006/relationships" r:id="R32537c1035204a55"/>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6" customWidth="1"/>
    <x:col min="2" max="2" width="55" customWidth="1"/>
    <x:col min="3" max="3" width="40" customWidth="1"/>
    <x:col min="4" max="4" width="48" customWidth="1"/>
    <x:col min="5" max="5" width="32" customWidth="1"/>
    <x:col min="6" max="6" width="50" customWidth="1"/>
  </x:cols>
  <x:sheetData>
    <x:row r="1">
      <x:c r="A1" s="1" t="inlineStr">
        <x:is>
          <x:t xml:space="preserve">Scenario B Pre-Installation Review Flags</x:t>
        </x:is>
      </x:c>
    </x:row>
    <x:row r="3">
      <x:c r="A3" s="10" t="inlineStr">
        <x:is>
          <x:t xml:space="preserve">Priority</x:t>
        </x:is>
      </x:c>
      <x:c r="B3" s="10" t="inlineStr">
        <x:is>
          <x:t xml:space="preserve">Decision / missing information</x:t>
        </x:is>
      </x:c>
      <x:c r="C3" s="10" t="inlineStr">
        <x:is>
          <x:t xml:space="preserve">Affected objects</x:t>
        </x:is>
      </x:c>
      <x:c r="D3" s="10" t="inlineStr">
        <x:is>
          <x:t xml:space="preserve">Current planning assumption</x:t>
        </x:is>
      </x:c>
      <x:c r="E3" s="10" t="inlineStr">
        <x:is>
          <x:t xml:space="preserve">Required owner</x:t>
        </x:is>
      </x:c>
      <x:c r="F3" s="10" t="inlineStr">
        <x:is>
          <x:t xml:space="preserve">Do not do yet</x:t>
        </x:is>
      </x:c>
    </x:row>
    <x:row r="4" ht="84" customHeight="1">
      <x:c r="A4" s="27" t="inlineStr">
        <x:is>
          <x:t xml:space="preserve">1 - Critical</x:t>
        </x:is>
      </x:c>
      <x:c r="B4" s="3" t="inlineStr">
        <x:is>
          <x:t xml:space="preserve">Conventional Soxhlet position count, hood size, condenser water and recovery configuration</x:t>
        </x:is>
      </x:c>
      <x:c r="C4" s="3" t="inlineStr">
        <x:is>
          <x:t xml:space="preserve">B-EQ-FAT06 / B-HOOD-SOX01</x:t>
        </x:is>
      </x:c>
      <x:c r="D4" s="3" t="inlineStr">
        <x:is>
          <x:t xml:space="preserve">96 x 36 hood with 72 x 24 inner placeholder</x:t>
        </x:is>
      </x:c>
      <x:c r="E4" s="3" t="inlineStr">
        <x:is>
          <x:t xml:space="preserve">Lab lead + hood vendor + MEP/EHS</x:t>
        </x:is>
      </x:c>
      <x:c r="F4" s="3" t="inlineStr">
        <x:is>
          <x:t xml:space="preserve">Do not finalize hood purchase or drain route</x:t>
        </x:is>
      </x:c>
    </x:row>
    <x:row r="5" ht="84" customHeight="1">
      <x:c r="A5" s="27" t="inlineStr">
        <x:is>
          <x:t xml:space="preserve">1 - Critical</x:t>
        </x:is>
      </x:c>
      <x:c r="B5" s="3" t="inlineStr">
        <x:is>
          <x:t xml:space="preserve">LECO exact configured footprint, service clearances, exhaust, gases and whether quoted Sartorius balance is retained</x:t>
        </x:is>
      </x:c>
      <x:c r="C5" s="3" t="inlineStr">
        <x:is>
          <x:t xml:space="preserve">B-EQ-PROT01 / B-OPT-BAL03 / B-T-LECO01</x:t>
        </x:is>
      </x:c>
      <x:c r="D5" s="3" t="inlineStr">
        <x:is>
          <x:t xml:space="preserve">60 x 30 body placeholder on 96 x 36 bench; 96 x 60 envelope</x:t>
        </x:is>
      </x:c>
      <x:c r="E5" s="3" t="inlineStr">
        <x:is>
          <x:t xml:space="preserve">LECO + AIT lab lead + MEP</x:t>
        </x:is>
      </x:c>
      <x:c r="F5" s="3" t="inlineStr">
        <x:is>
          <x:t xml:space="preserve">Do not assume MA204-02 replaces the LECO interface balance</x:t>
        </x:is>
      </x:c>
    </x:row>
    <x:row r="6" ht="84" customHeight="1">
      <x:c r="A6" s="27" t="inlineStr">
        <x:is>
          <x:t xml:space="preserve">1 - Critical</x:t>
        </x:is>
      </x:c>
      <x:c r="B6" s="3" t="inlineStr">
        <x:is>
          <x:t xml:space="preserve">Sykam module list, footprint, utilities, waste/reagent/cold-storage plan</x:t>
        </x:is>
      </x:c>
      <x:c r="C6" s="3" t="inlineStr">
        <x:is>
          <x:t xml:space="preserve">B-EQ-AA02 / B-T-SYKAM01 / B-STOR-COLD01</x:t>
        </x:is>
      </x:c>
      <x:c r="D6" s="3" t="inlineStr">
        <x:is>
          <x:t xml:space="preserve">72 x 30 body placeholder on 96 x 36 bench; 108 x 60 envelope</x:t>
        </x:is>
      </x:c>
      <x:c r="E6" s="3" t="inlineStr">
        <x:is>
          <x:t xml:space="preserve">Sykam + AIT lab lead + MEP</x:t>
        </x:is>
      </x:c>
      <x:c r="F6" s="3" t="inlineStr">
        <x:is>
          <x:t xml:space="preserve">Do not invent a single-chassis footprint</x:t>
        </x:is>
      </x:c>
    </x:row>
    <x:row r="7" ht="84" customHeight="1">
      <x:c r="A7" s="27" t="inlineStr">
        <x:is>
          <x:t xml:space="preserve">1 - Critical</x:t>
        </x:is>
      </x:c>
      <x:c r="B7" s="3" t="inlineStr">
        <x:is>
          <x:t xml:space="preserve">East-side water/drain rough-in survey and wash-station design</x:t>
        </x:is>
      </x:c>
      <x:c r="C7" s="3" t="inlineStr">
        <x:is>
          <x:t xml:space="preserve">B-FIX-WASH-ENV and B-U-WD01..03</x:t>
        </x:is>
      </x:c>
      <x:c r="D7" s="3" t="inlineStr">
        <x:is>
          <x:t xml:space="preserve">96 x 36 wash envelope with accessible manifold</x:t>
        </x:is>
      </x:c>
      <x:c r="E7" s="3" t="inlineStr">
        <x:is>
          <x:t xml:space="preserve">MEP/plumber + AIT</x:t>
        </x:is>
      </x:c>
      <x:c r="F7" s="3" t="inlineStr">
        <x:is>
          <x:t xml:space="preserve">Do not conceal valves/traps or show final branch routes</x:t>
        </x:is>
      </x:c>
    </x:row>
    <x:row r="8" ht="84" customHeight="1">
      <x:c r="A8" s="28" t="inlineStr">
        <x:is>
          <x:t xml:space="preserve">2 - High</x:t>
        </x:is>
      </x:c>
      <x:c r="B8" s="3" t="inlineStr">
        <x:is>
          <x:t xml:space="preserve">Whether OGS100 and F6010 can be installed in the existing Drying Room</x:t>
        </x:is>
      </x:c>
      <x:c r="C8" s="3" t="inlineStr">
        <x:is>
          <x:t xml:space="preserve">B-EQ-MOIST02A/B and stands</x:t>
        </x:is>
      </x:c>
      <x:c r="D8" s="3" t="inlineStr">
        <x:is>
          <x:t xml:space="preserve">Keep all thermal objects movable; Drying Room preferred</x:t>
        </x:is>
      </x:c>
      <x:c r="E8" s="3" t="inlineStr">
        <x:is>
          <x:t xml:space="preserve">Facilities/MEP + safety + architect</x:t>
        </x:is>
      </x:c>
      <x:c r="F8" s="3" t="inlineStr">
        <x:is>
          <x:t xml:space="preserve">Do not permanently allocate Room 114 floor space until reviewed</x:t>
        </x:is>
      </x:c>
    </x:row>
    <x:row r="9" ht="84" customHeight="1">
      <x:c r="A9" s="28" t="inlineStr">
        <x:is>
          <x:t xml:space="preserve">2 - High</x:t>
        </x:is>
      </x:c>
      <x:c r="B9" s="3" t="inlineStr">
        <x:is>
          <x:t xml:space="preserve">Ceiling service-drop feasibility and exact locations</x:t>
        </x:is>
      </x:c>
      <x:c r="C9" s="3" t="inlineStr">
        <x:is>
          <x:t xml:space="preserve">B-U-PD01..05</x:t>
        </x:is>
      </x:c>
      <x:c r="D9" s="3" t="inlineStr">
        <x:is>
          <x:t xml:space="preserve">Five movable candidate drops</x:t>
        </x:is>
      </x:c>
      <x:c r="E9" s="3" t="inlineStr">
        <x:is>
          <x:t xml:space="preserve">MEP + architect</x:t>
        </x:is>
      </x:c>
      <x:c r="F9" s="3" t="inlineStr">
        <x:is>
          <x:t xml:space="preserve">Do not route through lights, diffusers, sprinklers or access panels</x:t>
        </x:is>
      </x:c>
    </x:row>
    <x:row r="10" ht="84" customHeight="1">
      <x:c r="A10" s="28" t="inlineStr">
        <x:is>
          <x:t xml:space="preserve">2 - High</x:t>
        </x:is>
      </x:c>
      <x:c r="B10" s="3" t="inlineStr">
        <x:is>
          <x:t xml:space="preserve">Selected desiccator model/capacity</x:t>
        </x:is>
      </x:c>
      <x:c r="C10" s="3" t="inlineStr">
        <x:is>
          <x:t xml:space="preserve">B-ACC-DES01/02</x:t>
        </x:is>
      </x:c>
      <x:c r="D10" s="3" t="inlineStr">
        <x:is>
          <x:t xml:space="preserve">18 x 18 planning blocks, two units</x:t>
        </x:is>
      </x:c>
      <x:c r="E10" s="3" t="inlineStr">
        <x:is>
          <x:t xml:space="preserve">Lab lead</x:t>
        </x:is>
      </x:c>
      <x:c r="F10" s="3" t="inlineStr">
        <x:is>
          <x:t xml:space="preserve">Do not purchase based only on placeholder size</x:t>
        </x:is>
      </x:c>
    </x:row>
    <x:row r="11" ht="84" customHeight="1">
      <x:c r="A11" s="28" t="inlineStr">
        <x:is>
          <x:t xml:space="preserve">2 - High</x:t>
        </x:is>
      </x:c>
      <x:c r="B11" s="3" t="inlineStr">
        <x:is>
          <x:t xml:space="preserve">Balance fit-for-purpose, table and environmental review</x:t>
        </x:is>
      </x:c>
      <x:c r="C11" s="3" t="inlineStr">
        <x:is>
          <x:t xml:space="preserve">B-EQ-BAL01/02 and B-T-BAL01/02</x:t>
        </x:is>
      </x:c>
      <x:c r="D11" s="3" t="inlineStr">
        <x:is>
          <x:t xml:space="preserve">Dedicated 36 x 30 balance tables; 24 x 24 working envelope</x:t>
        </x:is>
      </x:c>
      <x:c r="E11" s="3" t="inlineStr">
        <x:is>
          <x:t xml:space="preserve">Quality/lab lead + METTLER</x:t>
        </x:is>
      </x:c>
      <x:c r="F11" s="3" t="inlineStr">
        <x:is>
          <x:t xml:space="preserve">Do not place near mills, shakers, hoods, direct HVAC or window heat</x:t>
        </x:is>
      </x:c>
    </x:row>
    <x:row r="12" ht="84" customHeight="1">
      <x:c r="A12" s="29" t="inlineStr">
        <x:is>
          <x:t xml:space="preserve">3 - Medium</x:t>
        </x:is>
      </x:c>
      <x:c r="B12" s="3" t="inlineStr">
        <x:is>
          <x:t xml:space="preserve">Final Uline bench styles, shelves/cabinets and exact model numbers</x:t>
        </x:is>
      </x:c>
      <x:c r="C12" s="3" t="inlineStr">
        <x:is>
          <x:t xml:space="preserve">All B-T-* objects</x:t>
        </x:is>
      </x:c>
      <x:c r="D12" s="3" t="inlineStr">
        <x:is>
          <x:t xml:space="preserve">Open frames for utility/service-heavy equipment; cabinets used selectively</x:t>
        </x:is>
      </x:c>
      <x:c r="E12" s="3" t="inlineStr">
        <x:is>
          <x:t xml:space="preserve">AIT lab lead + procurement</x:t>
        </x:is>
      </x:c>
      <x:c r="F12" s="3" t="inlineStr">
        <x:is>
          <x:t xml:space="preserve">Do not add cabinets under hoods, sink, FIWE, LECO or Sykam without approval</x:t>
        </x:is>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baseColWidth="8" defaultRowHeight="15"/>
  <x:sheetData>
    <x:row r="1">
      <x:c r="A1" t="inlineStr">
        <x:is>
          <x:t xml:space="preserve">Required</x:t>
        </x:is>
      </x:c>
      <x:c r="B1" t="inlineStr">
        <x:is>
          <x:t xml:space="preserve">Yes</x:t>
        </x:is>
      </x:c>
    </x:row>
    <x:row r="2">
      <x:c r="A2" t="inlineStr">
        <x:is>
          <x:t xml:space="preserve">Required - location decision</x:t>
        </x:is>
      </x:c>
      <x:c r="B2" t="inlineStr">
        <x:is>
          <x:t xml:space="preserve">No</x:t>
        </x:is>
      </x:c>
    </x:row>
    <x:row r="3">
      <x:c r="A3" t="inlineStr">
        <x:is>
          <x:t xml:space="preserve">Required planning symbol</x:t>
        </x:is>
      </x:c>
    </x:row>
    <x:row r="4">
      <x:c r="A4" t="inlineStr">
        <x:is>
          <x:t xml:space="preserve">Required - represented at computer stations</x:t>
        </x:is>
      </x:c>
    </x:row>
    <x:row r="5">
      <x:c r="A5" t="inlineStr">
        <x:is>
          <x:t xml:space="preserve">Conditional - do not place unless retained</x:t>
        </x:is>
      </x:c>
    </x:row>
    <x:row r="6">
      <x:c r="A6" t="inlineStr">
        <x:is>
          <x:t xml:space="preserve">Conditional - add only if wash/hood surfaces are insufficient</x:t>
        </x:is>
      </x:c>
    </x:row>
    <x:row r="7">
      <x:c r="A7" t="inlineStr">
        <x:is>
          <x:t xml:space="preserve">Conditional - reserve only if space allows</x:t>
        </x:is>
      </x:c>
    </x:row>
    <x:row r="8">
      <x:c r="A8" t="inlineStr">
        <x:is>
          <x:t xml:space="preserve">Conditional - add if Sykam reagents require local cold storage</x:t>
        </x:is>
      </x:c>
    </x:row>
    <x:row r="9">
      <x:c r="A9" t="inlineStr">
        <x:is>
          <x:t xml:space="preserve">Template - duplicate/extend as needed</x:t>
        </x:is>
      </x:c>
    </x:row>
    <x:row r="10">
      <x:c r="A10" t="inlineStr">
        <x:is>
          <x:t xml:space="preserve">Reference only - no equipment block in Room 114</x:t>
        </x:is>
      </x:c>
    </x:row>
  </x:sheetData>
  <x:pageMargins left="0.7" right="0.7" top="0.75" bottom="0.75" header="0.3" footer="0.3"/>
</x:worksheet>
</file>