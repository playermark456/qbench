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omments/comment1.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A Coverage" sheetId="2" state="visible" r:id="rId2"/>
    <sheet xmlns:r="http://schemas.openxmlformats.org/officeDocument/2006/relationships" name="Gafta Method Gate" sheetId="3" state="visible" r:id="rId3"/>
    <sheet xmlns:r="http://schemas.openxmlformats.org/officeDocument/2006/relationships" name="Instrument Options" sheetId="4" state="visible" r:id="rId4"/>
    <sheet xmlns:r="http://schemas.openxmlformats.org/officeDocument/2006/relationships" name="Excluded or Hold" sheetId="5" state="visible" r:id="rId5"/>
    <sheet xmlns:r="http://schemas.openxmlformats.org/officeDocument/2006/relationships" name="Budget Scenarios" sheetId="6" state="visible" r:id="rId6"/>
    <sheet xmlns:r="http://schemas.openxmlformats.org/officeDocument/2006/relationships" name="Method Notes" sheetId="7" state="visible" r:id="rId7"/>
    <sheet xmlns:r="http://schemas.openxmlformats.org/officeDocument/2006/relationships" name="Sources" sheetId="8" state="visible" r:id="rId8"/>
    <sheet xmlns:r="http://schemas.openxmlformats.org/officeDocument/2006/relationships" name="Calculation Logic" sheetId="9" state="visible" r:id="rId9"/>
    <sheet xmlns:r="http://schemas.openxmlformats.org/officeDocument/2006/relationships" name="Site Requirements" sheetId="10" state="visible" r:id="rId10"/>
    <sheet xmlns:r="http://schemas.openxmlformats.org/officeDocument/2006/relationships" name="Site Layout Mockup" sheetId="11" state="visible" r:id="rId11"/>
  </sheets>
  <definedNames>
    <definedName name="_xlnm._FilterDatabase" localSheetId="1" hidden="1">'COA Coverage'!$A$1:$H$55</definedName>
    <definedName name="_xlnm._FilterDatabase" localSheetId="3" hidden="1">'Instrument Options'!$A$1:$X$39</definedName>
    <definedName name="_xlnm._FilterDatabase" localSheetId="5" hidden="1">'Budget Scenarios'!$A$1:$F$5</definedName>
    <definedName name="_xlnm._FilterDatabase" localSheetId="6" hidden="1">'Method Notes'!$A$1:$C$9</definedName>
    <definedName name="_xlnm._FilterDatabase" localSheetId="7" hidden="1">'Sources'!$A$1:$B$72</definedName>
  </definedNames>
  <calcPr calcId="124519" calcMode="auto" fullCalcOnLoad="1" forceFullCalc="1"/>
</workbook>
</file>

<file path=xl/styles.xml><?xml version="1.0" encoding="utf-8"?>
<styleSheet xmlns="http://schemas.openxmlformats.org/spreadsheetml/2006/main">
  <numFmts count="1">
    <numFmt numFmtId="164" formatCode="$#,##0"/>
  </numFmts>
  <fonts count="11">
    <font>
      <name val="Calibri"/>
      <family val="2"/>
      <color theme="1"/>
      <sz val="11"/>
      <scheme val="minor"/>
    </font>
    <font>
      <b val="1"/>
      <color rgb="00FFFFFF"/>
      <sz val="16"/>
    </font>
    <font>
      <b val="1"/>
      <color rgb="001F1F1F"/>
    </font>
    <font>
      <b val="1"/>
      <color rgb="00FFFFFF"/>
    </font>
    <font>
      <name val="Calibri"/>
      <family val="2"/>
      <color theme="10"/>
      <sz val="12"/>
      <scheme val="minor"/>
    </font>
    <font>
      <name val="Aptos"/>
      <b val="1"/>
      <color rgb="00FFFFFF"/>
      <sz val="10"/>
    </font>
    <font>
      <name val="Aptos"/>
      <family val="2"/>
      <color theme="1"/>
      <sz val="10"/>
      <scheme val="minor"/>
    </font>
    <font>
      <name val="Aptos"/>
      <b val="1"/>
      <color rgb="001F1F1F"/>
      <sz val="10"/>
    </font>
    <font>
      <name val="Aptos"/>
      <family val="2"/>
      <color theme="10"/>
      <sz val="10"/>
      <scheme val="minor"/>
    </font>
    <font>
      <b val="1"/>
    </font>
    <font>
      <b val="1"/>
      <sz val="14"/>
    </font>
  </fonts>
  <fills count="10">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EADCF8"/>
      </patternFill>
    </fill>
    <fill>
      <patternFill patternType="solid">
        <fgColor rgb="00DDEBF7"/>
      </patternFill>
    </fill>
    <fill>
      <patternFill patternType="solid">
        <fgColor rgb="00FCE4D6"/>
      </patternFill>
    </fill>
    <fill>
      <patternFill patternType="solid">
        <fgColor rgb="00F4CCCC"/>
      </patternFill>
    </fill>
    <fill>
      <patternFill patternType="solid">
        <fgColor rgb="00FFF2CC"/>
      </patternFill>
    </fill>
  </fills>
  <borders count="7">
    <border>
      <left/>
      <right/>
      <top/>
      <bottom/>
      <diagonal/>
    </border>
    <border>
      <bottom style="thin">
        <color rgb="00D9E2F3"/>
      </bottom>
    </border>
    <border>
      <bottom style="medium">
        <color rgb="001F4E78"/>
      </bottom>
    </border>
    <border>
      <left/>
      <right/>
      <top/>
      <bottom style="thin">
        <color rgb="00D9E2F3"/>
      </bottom>
      <diagonal/>
    </border>
    <border>
      <left style="thin">
        <color rgb="00B7B7B7"/>
      </left>
      <right style="thin">
        <color rgb="00B7B7B7"/>
      </right>
      <top style="thin">
        <color rgb="00B7B7B7"/>
      </top>
      <bottom style="thin">
        <color rgb="00B7B7B7"/>
      </bottom>
    </border>
    <border>
      <right/>
      <bottom style="thin">
        <color rgb="00D9E2F3"/>
      </bottom>
    </border>
    <border>
      <bottom style="thin">
        <color rgb="00B7B7B7"/>
      </bottom>
    </border>
  </borders>
  <cellStyleXfs count="2">
    <xf numFmtId="0" fontId="0" fillId="0" borderId="0"/>
    <xf numFmtId="0" fontId="4" fillId="0" borderId="0"/>
  </cellStyleXfs>
  <cellXfs count="53">
    <xf numFmtId="0" fontId="0" fillId="0" borderId="0" pivotButton="0" quotePrefix="0" xfId="0"/>
    <xf numFmtId="0" fontId="5" fillId="2" borderId="1" applyAlignment="1" pivotButton="0" quotePrefix="0" xfId="0">
      <alignment horizontal="left" vertical="center"/>
    </xf>
    <xf numFmtId="0" fontId="5" fillId="0" borderId="1" pivotButton="0" quotePrefix="0" xfId="0"/>
    <xf numFmtId="0" fontId="6" fillId="0" borderId="1" pivotButton="0" quotePrefix="0" xfId="0"/>
    <xf numFmtId="0" fontId="7" fillId="3" borderId="1" applyAlignment="1" pivotButton="0" quotePrefix="0" xfId="0">
      <alignment vertical="top" wrapText="1"/>
    </xf>
    <xf numFmtId="0" fontId="6" fillId="0" borderId="1" applyAlignment="1" pivotButton="0" quotePrefix="0" xfId="0">
      <alignment vertical="top" wrapText="1"/>
    </xf>
    <xf numFmtId="0" fontId="5" fillId="2" borderId="1"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164" fontId="6" fillId="4" borderId="1" applyAlignment="1" pivotButton="0" quotePrefix="0" xfId="0">
      <alignment vertical="top" wrapText="1"/>
    </xf>
    <xf numFmtId="0" fontId="8" fillId="4" borderId="1" applyAlignment="1" pivotButton="0" quotePrefix="0" xfId="1">
      <alignment vertical="top" wrapText="1"/>
    </xf>
    <xf numFmtId="0" fontId="6" fillId="6" borderId="1" applyAlignment="1" pivotButton="0" quotePrefix="0" xfId="0">
      <alignment vertical="top" wrapText="1"/>
    </xf>
    <xf numFmtId="164" fontId="6" fillId="6" borderId="1" applyAlignment="1" pivotButton="0" quotePrefix="0" xfId="0">
      <alignment vertical="top" wrapText="1"/>
    </xf>
    <xf numFmtId="0" fontId="8" fillId="6" borderId="1" applyAlignment="1" pivotButton="0" quotePrefix="0" xfId="1">
      <alignment vertical="top" wrapText="1"/>
    </xf>
    <xf numFmtId="0" fontId="6" fillId="3" borderId="1" applyAlignment="1" pivotButton="0" quotePrefix="0" xfId="0">
      <alignment vertical="top" wrapText="1"/>
    </xf>
    <xf numFmtId="164" fontId="6" fillId="3" borderId="1" applyAlignment="1" pivotButton="0" quotePrefix="0" xfId="0">
      <alignment vertical="top" wrapText="1"/>
    </xf>
    <xf numFmtId="0" fontId="8" fillId="3" borderId="1" applyAlignment="1" pivotButton="0" quotePrefix="0" xfId="1">
      <alignment vertical="top" wrapText="1"/>
    </xf>
    <xf numFmtId="164" fontId="6" fillId="0" borderId="1" applyAlignment="1" pivotButton="0" quotePrefix="0" xfId="0">
      <alignment vertical="top" wrapText="1"/>
    </xf>
    <xf numFmtId="0" fontId="8" fillId="0" borderId="1" applyAlignment="1" pivotButton="0" quotePrefix="0" xfId="1">
      <alignment vertical="top" wrapText="1"/>
    </xf>
    <xf numFmtId="0" fontId="6" fillId="7" borderId="1" applyAlignment="1" pivotButton="0" quotePrefix="0" xfId="0">
      <alignment vertical="top" wrapText="1"/>
    </xf>
    <xf numFmtId="164" fontId="6" fillId="7" borderId="1" applyAlignment="1" pivotButton="0" quotePrefix="0" xfId="0">
      <alignment vertical="top" wrapText="1"/>
    </xf>
    <xf numFmtId="0" fontId="8" fillId="7" borderId="1" applyAlignment="1" pivotButton="0" quotePrefix="0" xfId="1">
      <alignment vertical="top" wrapText="1"/>
    </xf>
    <xf numFmtId="0" fontId="6" fillId="8" borderId="1" applyAlignment="1" pivotButton="0" quotePrefix="0" xfId="0">
      <alignment vertical="top" wrapText="1"/>
    </xf>
    <xf numFmtId="164" fontId="6" fillId="8" borderId="1" applyAlignment="1" pivotButton="0" quotePrefix="0" xfId="0">
      <alignment vertical="top" wrapText="1"/>
    </xf>
    <xf numFmtId="0" fontId="8" fillId="8" borderId="1" applyAlignment="1" pivotButton="0" quotePrefix="0" xfId="1">
      <alignment vertical="top" wrapText="1"/>
    </xf>
    <xf numFmtId="0" fontId="0" fillId="0" borderId="3" pivotButton="0" quotePrefix="0" xfId="0"/>
    <xf numFmtId="0" fontId="9" fillId="0" borderId="0" pivotButton="0" quotePrefix="0" xfId="0"/>
    <xf numFmtId="0" fontId="0" fillId="0" borderId="0" applyAlignment="1" pivotButton="0" quotePrefix="0" xfId="0">
      <alignment wrapText="1"/>
    </xf>
    <xf numFmtId="0" fontId="3" fillId="2" borderId="4" applyAlignment="1" pivotButton="0" quotePrefix="0" xfId="0">
      <alignment horizontal="center" vertical="center" wrapText="1"/>
    </xf>
    <xf numFmtId="0" fontId="6" fillId="0" borderId="4" applyAlignment="1" pivotButton="0" quotePrefix="0" xfId="0">
      <alignment vertical="top" wrapText="1"/>
    </xf>
    <xf numFmtId="0" fontId="0" fillId="0" borderId="4" applyAlignment="1" pivotButton="0" quotePrefix="0" xfId="0">
      <alignment vertical="top" wrapText="1"/>
    </xf>
    <xf numFmtId="0" fontId="6" fillId="4" borderId="4" applyAlignment="1" pivotButton="0" quotePrefix="0" xfId="0">
      <alignment vertical="top" wrapText="1"/>
    </xf>
    <xf numFmtId="0" fontId="6" fillId="5" borderId="4" applyAlignment="1" pivotButton="0" quotePrefix="0" xfId="0">
      <alignment vertical="top" wrapText="1"/>
    </xf>
    <xf numFmtId="164" fontId="6" fillId="4" borderId="4" applyAlignment="1" pivotButton="0" quotePrefix="0" xfId="0">
      <alignment vertical="top" wrapText="1"/>
    </xf>
    <xf numFmtId="0" fontId="4" fillId="0" borderId="0" pivotButton="0" quotePrefix="0" xfId="1"/>
    <xf numFmtId="0" fontId="6" fillId="6" borderId="4" applyAlignment="1" pivotButton="0" quotePrefix="0" xfId="0">
      <alignment vertical="top" wrapText="1"/>
    </xf>
    <xf numFmtId="164" fontId="6" fillId="6" borderId="4" applyAlignment="1" pivotButton="0" quotePrefix="0" xfId="0">
      <alignment vertical="top" wrapText="1"/>
    </xf>
    <xf numFmtId="0" fontId="6" fillId="3" borderId="4" applyAlignment="1" pivotButton="0" quotePrefix="0" xfId="0">
      <alignment vertical="top" wrapText="1"/>
    </xf>
    <xf numFmtId="164" fontId="6" fillId="3" borderId="4" applyAlignment="1" pivotButton="0" quotePrefix="0" xfId="0">
      <alignment vertical="top" wrapText="1"/>
    </xf>
    <xf numFmtId="164" fontId="6" fillId="0" borderId="4" applyAlignment="1" pivotButton="0" quotePrefix="0" xfId="0">
      <alignment vertical="top" wrapText="1"/>
    </xf>
    <xf numFmtId="0" fontId="6" fillId="7" borderId="4" applyAlignment="1" pivotButton="0" quotePrefix="0" xfId="0">
      <alignment vertical="top" wrapText="1"/>
    </xf>
    <xf numFmtId="164" fontId="6" fillId="7" borderId="4" applyAlignment="1" pivotButton="0" quotePrefix="0" xfId="0">
      <alignment vertical="top" wrapText="1"/>
    </xf>
    <xf numFmtId="0" fontId="6" fillId="8" borderId="4" applyAlignment="1" pivotButton="0" quotePrefix="0" xfId="0">
      <alignment vertical="top" wrapText="1"/>
    </xf>
    <xf numFmtId="164" fontId="6" fillId="8" borderId="4" applyAlignment="1" pivotButton="0" quotePrefix="0" xfId="0">
      <alignment vertical="top" wrapText="1"/>
    </xf>
    <xf numFmtId="0" fontId="9" fillId="9" borderId="0" pivotButton="0" quotePrefix="0" xfId="0"/>
    <xf numFmtId="0" fontId="0" fillId="9" borderId="0" pivotButton="0" quotePrefix="0" xfId="0"/>
    <xf numFmtId="0" fontId="10" fillId="0" borderId="0" pivotButton="0" quotePrefix="0" xfId="0"/>
    <xf numFmtId="0" fontId="5" fillId="2" borderId="5" applyAlignment="1" pivotButton="0" quotePrefix="0" xfId="0">
      <alignment horizontal="left" vertical="center"/>
    </xf>
    <xf numFmtId="0" fontId="3" fillId="2" borderId="6" applyAlignment="1" pivotButton="0" quotePrefix="0" xfId="0">
      <alignment horizontal="center" vertical="center" wrapText="1"/>
    </xf>
    <xf numFmtId="0" fontId="0" fillId="0"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164"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OpenAI</author>
  </authors>
  <commentList>
    <comment ref="D1" authorId="0" shapeId="0">
      <text>
        <t>Methods listed here are not automatic claims of accreditation. They require official methods, clause mapping, validation/verification, and scope approval.</t>
      </text>
    </comment>
    <comment ref="J1" authorId="0" shapeId="0">
      <text>
        <t>Budget estimates include normal accessories/installation where practical but exclude facility modifications, hoods, utilities, service contracts, tax, freight, and validation labor unless noted.</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9</col>
      <colOff>0</colOff>
      <row>1</row>
      <rowOff>0</rowOff>
    </from>
    <ext cx="2847975" cy="2209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COACoverage" displayName="COACoverage" ref="A1:H55" headerRowCount="1">
  <autoFilter ref="A1:F55"/>
  <tableColumns count="6">
    <tableColumn id="1" name="COA analyte / line item"/>
    <tableColumn id="2" name="COA example result"/>
    <tableColumn id="3" name="COA method"/>
    <tableColumn id="4" name="Recommended coverage"/>
    <tableColumn id="5" name="Option ID(s)"/>
    <tableColumn id="6" name="Comments / open issues"/>
  </tableColumns>
  <tableStyleInfo name="TableStyleMedium2" showFirstColumn="0" showLastColumn="0" showRowStripes="1" showColumnStripes="0"/>
</table>
</file>

<file path=xl/tables/table2.xml><?xml version="1.0" encoding="utf-8"?>
<table xmlns="http://schemas.openxmlformats.org/spreadsheetml/2006/main" id="2" name="GaftaMethodGate" displayName="GaftaMethodGate" ref="A1:G14" headerRowCount="1">
  <autoFilter ref="A1:G14"/>
  <tableColumns count="7">
    <tableColumn id="1" name="Gafta No."/>
    <tableColumn id="2" name="Analyte / activity"/>
    <tableColumn id="3" name="Required method in current register"/>
    <tableColumn id="4" name="Specific Gafta note"/>
    <tableColumn id="5" name="Active option IDs"/>
    <tableColumn id="6" name="Procurement gate"/>
    <tableColumn id="7" name="Official source"/>
  </tableColumns>
  <tableStyleInfo name="TableStyleMedium2" showRowStripes="1" showColumnStripes="0"/>
</table>
</file>

<file path=xl/tables/table3.xml><?xml version="1.0" encoding="utf-8"?>
<table xmlns="http://schemas.openxmlformats.org/spreadsheetml/2006/main" id="3" name="InstrumentOptions" displayName="InstrumentOptions" ref="A1:X39" headerRowCount="1">
  <autoFilter ref="A1:X48"/>
  <tableColumns count="24">
    <tableColumn id="1" name="Option ID"/>
    <tableColumn id="2" name="Category"/>
    <tableColumn id="3" name="Analyte / COA coverage"/>
    <tableColumn id="4" name="Methods / standards supported"/>
    <tableColumn id="5" name="Compliance fit"/>
    <tableColumn id="6" name="Vendor"/>
    <tableColumn id="7" name="Model / item"/>
    <tableColumn id="8" name="Option tier"/>
    <tableColumn id="9" name="Launch priority"/>
    <tableColumn id="10" name="New purchase low USD"/>
    <tableColumn id="11" name="New purchase high USD"/>
    <tableColumn id="12" name="List price / public price"/>
    <tableColumn id="13" name="Price basis"/>
    <tableColumn id="14" name="Product URL"/>
    <tableColumn id="15" name="Price/source URL"/>
    <tableColumn id="16" name="Recommendation / notes"/>
    <tableColumn id="17" name="In Scenario A"/>
    <tableColumn id="18" name="In Scenario B"/>
    <tableColumn id="19" name="In Scenario C"/>
    <tableColumn id="20" name="In Scenario D"/>
    <tableColumn id="21" name="Scenario tags"/>
    <tableColumn id="22" name="Gafta Gate Status"/>
    <tableColumn id="23" name="Required Gafta Method"/>
    <tableColumn id="24" name="Evidence / Selection Condition"/>
  </tableColumns>
  <tableStyleInfo name="TableStyleMedium2" showRowStripes="1" showColumnStripes="0"/>
</table>
</file>

<file path=xl/tables/table4.xml><?xml version="1.0" encoding="utf-8"?>
<table xmlns="http://schemas.openxmlformats.org/spreadsheetml/2006/main" id="4" name="ExcludedOptions" displayName="ExcludedOptions" ref="A1:H14" headerRowCount="1">
  <autoFilter ref="A1:H14"/>
  <tableColumns count="8">
    <tableColumn id="1" name="Status"/>
    <tableColumn id="2" name="Original Option ID"/>
    <tableColumn id="3" name="Vendor / Model"/>
    <tableColumn id="4" name="Analyte / use"/>
    <tableColumn id="5" name="Why removed from active Gafta-first list"/>
    <tableColumn id="6" name="Gafta method required where applicable"/>
    <tableColumn id="7" name="Reconsider only if"/>
    <tableColumn id="8" name="Source URL"/>
  </tableColumns>
  <tableStyleInfo name="TableStyleMedium2" showRowStripes="1" showColumnStripes="0"/>
</table>
</file>

<file path=xl/tables/table5.xml><?xml version="1.0" encoding="utf-8"?>
<table xmlns="http://schemas.openxmlformats.org/spreadsheetml/2006/main" id="5" name="BudgetScenarios" displayName="BudgetScenarios" ref="A1:F5" headerRowCount="1">
  <autoFilter ref="A1:F5"/>
  <tableColumns count="6">
    <tableColumn id="1" name="Scenario"/>
    <tableColumn id="2" name="Purpose"/>
    <tableColumn id="3" name="Included option IDs"/>
    <tableColumn id="4" name="Low USD"/>
    <tableColumn id="5" name="High USD"/>
    <tableColumn id="6" name="Notes"/>
  </tableColumns>
  <tableStyleInfo name="TableStyleMedium2" showRowStripes="1" showColumnStripes="0"/>
</table>
</file>

<file path=xl/tables/table6.xml><?xml version="1.0" encoding="utf-8"?>
<table xmlns="http://schemas.openxmlformats.org/spreadsheetml/2006/main" id="6" name="MethodNotes" displayName="MethodNotes" ref="A1:C9" headerRowCount="1">
  <autoFilter ref="A1:C9"/>
  <tableColumns count="3">
    <tableColumn id="1" name="Topic"/>
    <tableColumn id="2" name="Note"/>
    <tableColumn id="3" name="Source / URL"/>
  </tableColumns>
  <tableStyleInfo name="TableStyleMedium2" showRowStripes="1" showColumnStripes="0"/>
</table>
</file>

<file path=xl/tables/table7.xml><?xml version="1.0" encoding="utf-8"?>
<table xmlns="http://schemas.openxmlformats.org/spreadsheetml/2006/main" id="7" name="SourcesTable" displayName="SourcesTable" ref="A1:B85" headerRowCount="1">
  <autoFilter ref="A1:B72"/>
  <tableColumns count="2">
    <tableColumn id="1" name="Key"/>
    <tableColumn id="2" name="URL"/>
  </tableColumns>
  <tableStyleInfo name="TableStyleMedium2" showFirstColumn="0" showLastColumn="0" showRowStripes="1" showColumnStripes="0"/>
</table>
</file>

<file path=xl/tables/table8.xml><?xml version="1.0" encoding="utf-8"?>
<table xmlns="http://schemas.openxmlformats.org/spreadsheetml/2006/main" id="8" name="CalculationLogic" displayName="CalculationLogic" ref="A1:E9" headerRowCount="1">
  <autoFilter ref="A1:E9"/>
  <tableColumns count="5">
    <tableColumn id="1" name="COA row"/>
    <tableColumn id="2" name="Line item"/>
    <tableColumn id="3" name="Common/standard equation"/>
    <tableColumn id="4" name="Practical note"/>
    <tableColumn id="5" name="Use in LIMS / reporting"/>
  </tableColumns>
  <tableStyleInfo name="TableStyleMedium2" showRowStripes="1" showColumnStripes="0"/>
</table>
</file>

<file path=xl/tables/table9.xml><?xml version="1.0" encoding="utf-8"?>
<table xmlns="http://schemas.openxmlformats.org/spreadsheetml/2006/main" id="9" name="SiteRequirements" displayName="SiteRequirements" ref="A1:I17" headerRowCount="1">
  <autoFilter ref="A1:I17"/>
  <tableColumns count="9">
    <tableColumn id="1" name="Option ID(s)"/>
    <tableColumn id="2" name="Instrument / item"/>
    <tableColumn id="3" name="Analyte / methods"/>
    <tableColumn id="4" name="Electrical"/>
    <tableColumn id="5" name="Ventilation / exhaust"/>
    <tableColumn id="6" name="Plumbing / drain"/>
    <tableColumn id="7" name="Gas"/>
    <tableColumn id="8" name="Other site / furniture needs"/>
    <tableColumn id="9" name="Comment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hyperlink" Target="https://www.gafta.com/register-of-analysis-methods/" TargetMode="External" Id="rId1"/><Relationship Type="http://schemas.openxmlformats.org/officeDocument/2006/relationships/hyperlink" Target="https://www.gafta.com/register-of-analysis-methods/" TargetMode="External" Id="rId2"/><Relationship Type="http://schemas.openxmlformats.org/officeDocument/2006/relationships/hyperlink" Target="https://www.gafta.com/register-of-analysis-methods/" TargetMode="External" Id="rId3"/><Relationship Type="http://schemas.openxmlformats.org/officeDocument/2006/relationships/hyperlink" Target="https://www.gafta.com/register-of-analysis-methods/" TargetMode="External" Id="rId4"/><Relationship Type="http://schemas.openxmlformats.org/officeDocument/2006/relationships/hyperlink" Target="https://www.gafta.com/register-of-analysis-methods/" TargetMode="External" Id="rId5"/><Relationship Type="http://schemas.openxmlformats.org/officeDocument/2006/relationships/hyperlink" Target="https://www.gafta.com/register-of-analysis-methods/" TargetMode="External" Id="rId6"/><Relationship Type="http://schemas.openxmlformats.org/officeDocument/2006/relationships/hyperlink" Target="https://www.gafta.com/register-of-analysis-methods/" TargetMode="External" Id="rId7"/><Relationship Type="http://schemas.openxmlformats.org/officeDocument/2006/relationships/hyperlink" Target="https://www.gafta.com/register-of-analysis-methods/" TargetMode="External" Id="rId8"/><Relationship Type="http://schemas.openxmlformats.org/officeDocument/2006/relationships/hyperlink" Target="https://www.gafta.com/register-of-analysis-methods/181-aflatoxins-in-feedingstuffs/" TargetMode="External" Id="rId9"/><Relationship Type="http://schemas.openxmlformats.org/officeDocument/2006/relationships/hyperlink" Target="https://www.gafta.com/register-of-analysis-methods/" TargetMode="External" Id="rId10"/><Relationship Type="http://schemas.openxmlformats.org/officeDocument/2006/relationships/hyperlink" Target="https://www.gafta.com/register-of-analysis-methods/" TargetMode="External" Id="rId11"/><Relationship Type="http://schemas.openxmlformats.org/officeDocument/2006/relationships/hyperlink" Target="https://www.gafta.com/register-of-analysis-methods/" TargetMode="External" Id="rId12"/><Relationship Type="http://schemas.openxmlformats.org/officeDocument/2006/relationships/hyperlink" Target="https://www.gafta.com/media/uruntizb/introduction.pdf" TargetMode="External" Id="rId13"/><Relationship Type="http://schemas.openxmlformats.org/officeDocument/2006/relationships/table" Target="/xl/tables/table2.xml" Id="rId14"/></Relationships>
</file>

<file path=xl/worksheets/_rels/sheet4.xml.rels><Relationships xmlns="http://schemas.openxmlformats.org/package/2006/relationships"><Relationship Type="http://schemas.openxmlformats.org/officeDocument/2006/relationships/hyperlink" Target="https://www.shimadzu.com/an/resources/movies/LCMS-8040/index.html" TargetMode="External" Id="rId1"/><Relationship Type="http://schemas.openxmlformats.org/officeDocument/2006/relationships/hyperlink" Target="https://www.shimadzu.com/an/products/liquid-chromatograph-mass-spectrometry/lc-ms-system/lcmsms-method-package-for-mycotoxins/index.html" TargetMode="External" Id="rId2"/><Relationship Type="http://schemas.openxmlformats.org/officeDocument/2006/relationships/hyperlink" Target="https://www.shimadzu.com/an/products/uv-vis/uv-vis-nir-spectroscopy/uv-1900i-plus/index.html" TargetMode="External" Id="rId3"/><Relationship Type="http://schemas.openxmlformats.org/officeDocument/2006/relationships/hyperlink" Target="https://www.shimadzu.com/an/products/uv-vis/uv-vis-nir-spectroscopy/uv-1900i-plus/index.html" TargetMode="External" Id="rId4"/><Relationship Type="http://schemas.openxmlformats.org/officeDocument/2006/relationships/hyperlink" Target="https://www.thermofisher.com/order/catalog/product/840-341400" TargetMode="External" Id="rId5"/><Relationship Type="http://schemas.openxmlformats.org/officeDocument/2006/relationships/hyperlink" Target="https://www.thermofisher.com/order/catalog/product/840-341400" TargetMode="External" Id="rId6"/><Relationship Type="http://schemas.openxmlformats.org/officeDocument/2006/relationships/hyperlink" Target="https://www.thermofisher.com/order/catalog/product/51028112" TargetMode="External" Id="rId7"/><Relationship Type="http://schemas.openxmlformats.org/officeDocument/2006/relationships/hyperlink" Target="https://www.thermofisher.com/order/catalog/product/F6010" TargetMode="External" Id="rId8"/><Relationship Type="http://schemas.openxmlformats.org/officeDocument/2006/relationships/hyperlink" Target="https://www.binder-world.com/int-en/products/drying-ovens/product/fd-115" TargetMode="External" Id="rId9"/><Relationship Type="http://schemas.openxmlformats.org/officeDocument/2006/relationships/hyperlink" Target="https://www.genlabdirect.com/nabertherm-inc-muffle-furnace-l9-11-skm-b510-1100c-240v-lm094k1ln1-240" TargetMode="External" Id="rId10"/><Relationship Type="http://schemas.openxmlformats.org/officeDocument/2006/relationships/hyperlink" Target="https://www.leco.com/products/828-series/" TargetMode="External" Id="rId11"/><Relationship Type="http://schemas.openxmlformats.org/officeDocument/2006/relationships/hyperlink" Target="https://www.leco.com/resources/methods/" TargetMode="External" Id="rId12"/><Relationship Type="http://schemas.openxmlformats.org/officeDocument/2006/relationships/hyperlink" Target="https://www.fossanalytics.com/en/products/kjeltec-9-analyzer" TargetMode="External" Id="rId13"/><Relationship Type="http://schemas.openxmlformats.org/officeDocument/2006/relationships/hyperlink" Target="https://www.gerhardt.de/en/products/kjeldahl-analysis/" TargetMode="External" Id="rId14"/><Relationship Type="http://schemas.openxmlformats.org/officeDocument/2006/relationships/hyperlink" Target="https://www.fossanalytics.com/en/products/soxtec-8000" TargetMode="External" Id="rId15"/><Relationship Type="http://schemas.openxmlformats.org/officeDocument/2006/relationships/hyperlink" Target="https://www.fishersci.com/shop/products/foss-soxtec-8000-extraction-systems-extractable-matter/TCS8000800G" TargetMode="External" Id="rId16"/><Relationship Type="http://schemas.openxmlformats.org/officeDocument/2006/relationships/hyperlink" Target="https://www.fossanalytics.com/products/soxtec_labtec-st-255" TargetMode="External" Id="rId17"/><Relationship Type="http://schemas.openxmlformats.org/officeDocument/2006/relationships/hyperlink" Target="https://www.fossanalytics.com/products/soxtec_labtec-st-255" TargetMode="External" Id="rId18"/><Relationship Type="http://schemas.openxmlformats.org/officeDocument/2006/relationships/hyperlink" Target="https://www.labx.com/product/soxhlet-extractor" TargetMode="External" Id="rId19"/><Relationship Type="http://schemas.openxmlformats.org/officeDocument/2006/relationships/hyperlink" Target="https://www.labx.com/product/soxhlet-extractor" TargetMode="External" Id="rId20"/><Relationship Type="http://schemas.openxmlformats.org/officeDocument/2006/relationships/hyperlink" Target="https://www.fossanalytics.com/en/products/fibertec-8000" TargetMode="External" Id="rId21"/><Relationship Type="http://schemas.openxmlformats.org/officeDocument/2006/relationships/hyperlink" Target="https://www.gerber-instruments.com/files/gerber-instruments_files/pdf/FOSS/FOSS%20Chemie/Fibertec/Fibertec_8000_Solution_Brochure_GB%20pdf.pdf" TargetMode="External" Id="rId22"/><Relationship Type="http://schemas.openxmlformats.org/officeDocument/2006/relationships/hyperlink" Target="https://www.velp.com/en-ww/fiwe-advance-automatic-fiber-analyzer.aspx" TargetMode="External" Id="rId23"/><Relationship Type="http://schemas.openxmlformats.org/officeDocument/2006/relationships/hyperlink" Target="https://www.velp.com/public/file/VELPFIWE-ADVANCEENrev06-316514.pdf" TargetMode="External" Id="rId24"/><Relationship Type="http://schemas.openxmlformats.org/officeDocument/2006/relationships/hyperlink" Target="https://www.fishersci.co.uk/shop/products/fiwe6-fiber-analyzer/11775714" TargetMode="External" Id="rId25"/><Relationship Type="http://schemas.openxmlformats.org/officeDocument/2006/relationships/hyperlink" Target="https://www.fishersci.co.uk/shop/products/fiwe6-fiber-analyzer/11775714" TargetMode="External" Id="rId26"/><Relationship Type="http://schemas.openxmlformats.org/officeDocument/2006/relationships/hyperlink" Target="https://www.fossanalytics.com/en/products/ft-122-fibertec" TargetMode="External" Id="rId27"/><Relationship Type="http://schemas.openxmlformats.org/officeDocument/2006/relationships/hyperlink" Target="https://www.fossanalytics.com/-/media/files/documents/brochuresanddatasheets/products/ft-122-fibertec/fibertec-ft-122-solution-brochure-gb.pdf" TargetMode="External" Id="rId28"/><Relationship Type="http://schemas.openxmlformats.org/officeDocument/2006/relationships/hyperlink" Target="https://www.anton-paar.com/corp-en/products/details/modular-compact-polarimeter-mcp/" TargetMode="External" Id="rId29"/><Relationship Type="http://schemas.openxmlformats.org/officeDocument/2006/relationships/hyperlink" Target="https://www.fishersci.com/shop/products/5000580486/5000580486" TargetMode="External" Id="rId30"/><Relationship Type="http://schemas.openxmlformats.org/officeDocument/2006/relationships/hyperlink" Target="https://rudolphresearch.com/products/polarimeters/autopol-i/" TargetMode="External" Id="rId31"/><Relationship Type="http://schemas.openxmlformats.org/officeDocument/2006/relationships/hyperlink" Target="https://rudolphresearch.com/products/polarimeters/autopol-ii/" TargetMode="External" Id="rId32"/><Relationship Type="http://schemas.openxmlformats.org/officeDocument/2006/relationships/hyperlink" Target="https://schmidt-haensch.com/product/unipol-v-digital-polarimeter/" TargetMode="External" Id="rId33"/><Relationship Type="http://schemas.openxmlformats.org/officeDocument/2006/relationships/hyperlink" Target="https://schmidt-haensch.com/wp-content/uploads/2024/08/UniPol-V-v1.0.pdf" TargetMode="External" Id="rId34"/><Relationship Type="http://schemas.openxmlformats.org/officeDocument/2006/relationships/hyperlink" Target="https://www.hunterlab.com/en/products/benchtop-spectrophotometers/colorflex-ez/" TargetMode="External" Id="rId35"/><Relationship Type="http://schemas.openxmlformats.org/officeDocument/2006/relationships/hyperlink" Target="https://www.hunterlab.com/en/products/benchtop-spectrophotometers/colorflex-ez/" TargetMode="External" Id="rId36"/><Relationship Type="http://schemas.openxmlformats.org/officeDocument/2006/relationships/hyperlink" Target="https://www.hunterlab.com/en/products/benchtop-spectrophotometers/colorflex-l2/" TargetMode="External" Id="rId37"/><Relationship Type="http://schemas.openxmlformats.org/officeDocument/2006/relationships/hyperlink" Target="https://www.midlandsci.com/655590.html" TargetMode="External" Id="rId38"/><Relationship Type="http://schemas.openxmlformats.org/officeDocument/2006/relationships/hyperlink" Target="https://sensing.konicaminolta.us/us/products/cr-400-chroma-meter-colorimeter/" TargetMode="External" Id="rId39"/><Relationship Type="http://schemas.openxmlformats.org/officeDocument/2006/relationships/hyperlink" Target="https://sensing.konicaminolta.us/us/products/cr-400-chroma-meter-colorimeter/" TargetMode="External" Id="rId40"/><Relationship Type="http://schemas.openxmlformats.org/officeDocument/2006/relationships/hyperlink" Target="https://www.copleyscientific.com/pharmaceutical-testing/powder-testing/tapped-density-jvi-series/" TargetMode="External" Id="rId41"/><Relationship Type="http://schemas.openxmlformats.org/officeDocument/2006/relationships/hyperlink" Target="https://www.gardco.com/product/tap-density-testers/01tTr00000BbcbTIAR" TargetMode="External" Id="rId42"/><Relationship Type="http://schemas.openxmlformats.org/officeDocument/2006/relationships/hyperlink" Target="https://www.erweka.com/products/physical-testers/tapped-density-tester/svm-ii/" TargetMode="External" Id="rId43"/><Relationship Type="http://schemas.openxmlformats.org/officeDocument/2006/relationships/hyperlink" Target="https://www.erweka.com/products/physical-testers/tapped-density-tester/svm-ii/" TargetMode="External" Id="rId44"/><Relationship Type="http://schemas.openxmlformats.org/officeDocument/2006/relationships/hyperlink" Target="https://www.labulk.com/labulk-0302-scott-volumeter-version-ups-616/" TargetMode="External" Id="rId45"/><Relationship Type="http://schemas.openxmlformats.org/officeDocument/2006/relationships/hyperlink" Target="https://www.labulk.com/labulk-0302-scott-volumeter-version-ups-616/" TargetMode="External" Id="rId46"/><Relationship Type="http://schemas.openxmlformats.org/officeDocument/2006/relationships/hyperlink" Target="https://www.hitachi-hightech.com/global/en/products/analytical-systems/hplc/amino-acid-analyzers/la8080.html" TargetMode="External" Id="rId47"/><Relationship Type="http://schemas.openxmlformats.org/officeDocument/2006/relationships/hyperlink" Target="https://www.hitachi-hightech.com/global/en/products/analytical-systems/hplc/amino-acid-analyzers/la8080.html" TargetMode="External" Id="rId48"/><Relationship Type="http://schemas.openxmlformats.org/officeDocument/2006/relationships/hyperlink" Target="https://sykam.com/product/amino-acid-analyzers/s-433-amino-acid-analyzer/" TargetMode="External" Id="rId49"/><Relationship Type="http://schemas.openxmlformats.org/officeDocument/2006/relationships/hyperlink" Target="https://sykam.com/products/amino-acid-analyzers/" TargetMode="External" Id="rId50"/><Relationship Type="http://schemas.openxmlformats.org/officeDocument/2006/relationships/hyperlink" Target="https://www.shimadzu.com/an/products/liquid-chromatography/hplc-system/amino-acid-analysis-system/index.html" TargetMode="External" Id="rId51"/><Relationship Type="http://schemas.openxmlformats.org/officeDocument/2006/relationships/hyperlink" Target="https://www.shimadzu.com/an/products/liquid-chromatography/hplc-system/amino-acid-analysis-system/index.html" TargetMode="External" Id="rId52"/><Relationship Type="http://schemas.openxmlformats.org/officeDocument/2006/relationships/hyperlink" Target="https://www.shimadzu.com/an/sites/shimadzu.com.an/files/pim/pim_document_file/applications/application_note/13742/apl220024.pdf" TargetMode="External" Id="rId53"/><Relationship Type="http://schemas.openxmlformats.org/officeDocument/2006/relationships/hyperlink" Target="https://www.shimadzu.com/an/sites/shimadzu.com.an/files/pim/pim_document_file/applications/application_note/13742/apl220024.pdf" TargetMode="External" Id="rId54"/><Relationship Type="http://schemas.openxmlformats.org/officeDocument/2006/relationships/hyperlink" Target="https://www.shimadzu.com/an/sites/shimadzu.com.an/files/pim/pim_document_file/applications/application_note/13742/apl220024.pdf" TargetMode="External" Id="rId55"/><Relationship Type="http://schemas.openxmlformats.org/officeDocument/2006/relationships/hyperlink" Target="https://www.fritsch-international.com/sample-preparation/milling/cutting-mills/details/product/pulverisette-19-50-700-rpm/" TargetMode="External" Id="rId56"/><Relationship Type="http://schemas.openxmlformats.org/officeDocument/2006/relationships/hyperlink" Target="https://www.fritsch-international.com/sample-preparation/milling/cutting-mills/details/product/pulverisette-19-50-700-rpm/" TargetMode="External" Id="rId57"/><Relationship Type="http://schemas.openxmlformats.org/officeDocument/2006/relationships/hyperlink" Target="https://www.fossanalytics.com/en/products/kn-295-knifetec" TargetMode="External" Id="rId58"/><Relationship Type="http://schemas.openxmlformats.org/officeDocument/2006/relationships/hyperlink" Target="https://www.fossanalytics.com/en/products/kn-295-knifetec" TargetMode="External" Id="rId59"/><Relationship Type="http://schemas.openxmlformats.org/officeDocument/2006/relationships/hyperlink" Target="https://www.retsch.com/products/milling/rotor-mills/zm-300/" TargetMode="External" Id="rId60"/><Relationship Type="http://schemas.openxmlformats.org/officeDocument/2006/relationships/hyperlink" Target="https://certifiedmtp.com/retsch-zm-300-ultra-centrifugal-mill/" TargetMode="External" Id="rId61"/><Relationship Type="http://schemas.openxmlformats.org/officeDocument/2006/relationships/hyperlink" Target="https://www.fossanalytics.com/en/products/ct-293-cyclotec" TargetMode="External" Id="rId62"/><Relationship Type="http://schemas.openxmlformats.org/officeDocument/2006/relationships/hyperlink" Target="https://www.fossanalytics.com/en/products/ct-293-cyclotec" TargetMode="External" Id="rId63"/><Relationship Type="http://schemas.openxmlformats.org/officeDocument/2006/relationships/hyperlink" Target="https://www.retsch.com/products/assisting/sample-divider/pt-100/" TargetMode="External" Id="rId64"/><Relationship Type="http://schemas.openxmlformats.org/officeDocument/2006/relationships/hyperlink" Target="https://www.retsch.com/products/assisting/sample-divider/pt-100/" TargetMode="External" Id="rId65"/><Relationship Type="http://schemas.openxmlformats.org/officeDocument/2006/relationships/hyperlink" Target="https://www.retsch.com/products/sieving/sieve-shakers/as-200-control/" TargetMode="External" Id="rId66"/><Relationship Type="http://schemas.openxmlformats.org/officeDocument/2006/relationships/hyperlink" Target="https://www.retsch.com/products/sieving/sieve-shakers/as-200-control/" TargetMode="External" Id="rId67"/><Relationship Type="http://schemas.openxmlformats.org/officeDocument/2006/relationships/hyperlink" Target="https://www.retsch.com/products/sieving/sieve-shakers/as-200-basic" TargetMode="External" Id="rId68"/><Relationship Type="http://schemas.openxmlformats.org/officeDocument/2006/relationships/hyperlink" Target="https://www.retsch.com/products/sieving/sieve-shakers/as-200-basic" TargetMode="External" Id="rId69"/><Relationship Type="http://schemas.openxmlformats.org/officeDocument/2006/relationships/hyperlink" Target="https://www.globalgilson.com/8-inch-sieve-all-stainless-full-height-number-18" TargetMode="External" Id="rId70"/><Relationship Type="http://schemas.openxmlformats.org/officeDocument/2006/relationships/hyperlink" Target="https://www.humboldtmfg.com/sieves-8-dia-stainless-frame-and-mesh-no-18-100-mm-full-height-2-50-mm.html" TargetMode="External" Id="rId71"/><Relationship Type="http://schemas.openxmlformats.org/officeDocument/2006/relationships/table" Target="/xl/tables/table3.xml" Id="rId7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s://www.gafta.com/register-of-analysis-methods/" TargetMode="External" Id="rId1"/><Relationship Type="http://schemas.openxmlformats.org/officeDocument/2006/relationships/hyperlink" Target="https://www.leco.com/products/thermogravimetric-analyzer/" TargetMode="External" Id="rId2"/><Relationship Type="http://schemas.openxmlformats.org/officeDocument/2006/relationships/hyperlink" Target="https://www.velp.com/public/file/crude-fat-determination-in-feed-206519.pdf" TargetMode="External" Id="rId3"/><Relationship Type="http://schemas.openxmlformats.org/officeDocument/2006/relationships/hyperlink" Target="https://www.velp.com/en-ww/ser-158-series-automatic-solvent-extractor.aspx" TargetMode="External" Id="rId4"/><Relationship Type="http://schemas.openxmlformats.org/officeDocument/2006/relationships/hyperlink" Target="https://www.buchi.com/en/products/instruments/fatextractor-e-500" TargetMode="External" Id="rId5"/><Relationship Type="http://schemas.openxmlformats.org/officeDocument/2006/relationships/hyperlink" Target="https://www.ankom.com/product-catalog/XT15-extractor" TargetMode="External" Id="rId6"/><Relationship Type="http://schemas.openxmlformats.org/officeDocument/2006/relationships/hyperlink" Target="https://www.ankom.com/product-catalog/ankom-delta-fiber-analyzer" TargetMode="External" Id="rId7"/><Relationship Type="http://schemas.openxmlformats.org/officeDocument/2006/relationships/hyperlink" Target="https://www.fossanalytics.com/products/fibertec1023" TargetMode="External" Id="rId8"/><Relationship Type="http://schemas.openxmlformats.org/officeDocument/2006/relationships/hyperlink" Target="https://www.megazyme.com/total-starch-assay-kit" TargetMode="External" Id="rId9"/><Relationship Type="http://schemas.openxmlformats.org/officeDocument/2006/relationships/hyperlink" Target="https://www.gafta.com/register-of-analysis-methods/" TargetMode="External" Id="rId10"/><Relationship Type="http://schemas.openxmlformats.org/officeDocument/2006/relationships/hyperlink" Target="https://www.fossanalytics.com/en/products/nirs-ds3-feed" TargetMode="External" Id="rId11"/><Relationship Type="http://schemas.openxmlformats.org/officeDocument/2006/relationships/hyperlink" Target="https://shop.perkinelmer.com/product/PER072500" TargetMode="External" Id="rId12"/><Relationship Type="http://schemas.openxmlformats.org/officeDocument/2006/relationships/hyperlink" Target="https://www.kpmanalytics.com/products/moisture-compositional/spectrastar-xt-r" TargetMode="External" Id="rId13"/><Relationship Type="http://schemas.openxmlformats.org/officeDocument/2006/relationships/table" Target="/xl/tables/table4.xml" Id="rId14"/></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hyperlink" Target="https://www.gafta.com/register-of-analysis-methods/" TargetMode="External" Id="rId1"/><Relationship Type="http://schemas.openxmlformats.org/officeDocument/2006/relationships/hyperlink" Target="https://www.gafta.com/media/e5nfkyfa/gafta-ring-test-scheme-protocol-v2-july-2026.pdf" TargetMode="External" Id="rId2"/><Relationship Type="http://schemas.openxmlformats.org/officeDocument/2006/relationships/hyperlink" Target="https://www.gafta.com/media/uruntizb/introduction.pdf" TargetMode="External" Id="rId3"/><Relationship Type="http://schemas.openxmlformats.org/officeDocument/2006/relationships/hyperlink" Target="https://www.gafta.com/register-of-analysis-methods/" TargetMode="External" Id="rId4"/><Relationship Type="http://schemas.openxmlformats.org/officeDocument/2006/relationships/hyperlink" Target="https://www.leco.com/products/thermogravimetric-analyzer/" TargetMode="External" Id="rId5"/><Relationship Type="http://schemas.openxmlformats.org/officeDocument/2006/relationships/hyperlink" Target="https://www.iso.org/standard/12866.html" TargetMode="External" Id="rId6"/><Relationship Type="http://schemas.openxmlformats.org/officeDocument/2006/relationships/hyperlink" Target="https://www.gafta.com/register-of-analysis-methods/" TargetMode="External" Id="rId7"/><Relationship Type="http://schemas.openxmlformats.org/officeDocument/2006/relationships/table" Target="/xl/tables/table6.xml" Id="rId8"/></Relationships>
</file>

<file path=xl/worksheets/_rels/sheet8.xml.rels><Relationships xmlns="http://schemas.openxmlformats.org/package/2006/relationships"><Relationship Type="http://schemas.openxmlformats.org/officeDocument/2006/relationships/hyperlink" Target="https://www.ankom.com/product-catalog/ankom-delta-fiber-analyzer" TargetMode="External" Id="rId1"/><Relationship Type="http://schemas.openxmlformats.org/officeDocument/2006/relationships/hyperlink" Target="https://www.midlandsci.com/601196.html" TargetMode="External" Id="rId2"/><Relationship Type="http://schemas.openxmlformats.org/officeDocument/2006/relationships/hyperlink" Target="https://www.ankom.com/product-catalog/XT15-extractor" TargetMode="External" Id="rId3"/><Relationship Type="http://schemas.openxmlformats.org/officeDocument/2006/relationships/hyperlink" Target="https://www.vwr.com/ca/en/product/NA2674220/ankom-xt15-extractor-120v" TargetMode="External" Id="rId4"/><Relationship Type="http://schemas.openxmlformats.org/officeDocument/2006/relationships/hyperlink" Target="https://www.aocs.org/laboratory-proficiency-program/ddgs-from-corn-laboratory-proficiency-testing/" TargetMode="External" Id="rId5"/><Relationship Type="http://schemas.openxmlformats.org/officeDocument/2006/relationships/hyperlink" Target="https://www.aocs.org/quality-reference-materials/ddgs-from-corn-meal-corn-meal-quality-reference-material/" TargetMode="External" Id="rId6"/><Relationship Type="http://schemas.openxmlformats.org/officeDocument/2006/relationships/hyperlink" Target="https://www.binder-world.com/int-en/products/drying-ovens/product/fd-115" TargetMode="External" Id="rId7"/><Relationship Type="http://schemas.openxmlformats.org/officeDocument/2006/relationships/hyperlink" Target="https://www.buchi.com/en/products/instruments/fatextractor-e-500" TargetMode="External" Id="rId8"/><Relationship Type="http://schemas.openxmlformats.org/officeDocument/2006/relationships/hyperlink" Target="https://www.copleyscientific.com/pharmaceutical-testing/powder-testing/tapped-density-jvi-series/" TargetMode="External" Id="rId9"/><Relationship Type="http://schemas.openxmlformats.org/officeDocument/2006/relationships/hyperlink" Target="https://www.erweka.com/products/physical-testers/tapped-density-tester/svm-ii/" TargetMode="External" Id="rId10"/><Relationship Type="http://schemas.openxmlformats.org/officeDocument/2006/relationships/hyperlink" Target="https://www.fishersci.com/shop/products/foss-soxtec-8000-extraction-systems-extractable-matter/TCS8000800G" TargetMode="External" Id="rId11"/><Relationship Type="http://schemas.openxmlformats.org/officeDocument/2006/relationships/hyperlink" Target="https://www.fossanalytics.com/en/products/cm-290-cemotec" TargetMode="External" Id="rId12"/><Relationship Type="http://schemas.openxmlformats.org/officeDocument/2006/relationships/hyperlink" Target="https://www.fossanalytics.com/en/products/ct-293-cyclotec" TargetMode="External" Id="rId13"/><Relationship Type="http://schemas.openxmlformats.org/officeDocument/2006/relationships/hyperlink" Target="https://www.fossanalytics.com/-/media/files/documents/brochuresanddatasheets/products/nirs-ds2500-f-feed-analyser/nirs-ds2500-f-solution-brochure-gb.pdf" TargetMode="External" Id="rId14"/><Relationship Type="http://schemas.openxmlformats.org/officeDocument/2006/relationships/hyperlink" Target="https://www.fossanalytics.com/en/products/nirs-ds3-feed" TargetMode="External" Id="rId15"/><Relationship Type="http://schemas.openxmlformats.org/officeDocument/2006/relationships/hyperlink" Target="https://www.fossanalytics.com/products/fibertec1023" TargetMode="External" Id="rId16"/><Relationship Type="http://schemas.openxmlformats.org/officeDocument/2006/relationships/hyperlink" Target="https://www.fossanalytics.com/en/products/fibertec-8000" TargetMode="External" Id="rId17"/><Relationship Type="http://schemas.openxmlformats.org/officeDocument/2006/relationships/hyperlink" Target="https://www.gerber-instruments.com/files/gerber-instruments_files/pdf/FOSS/FOSS%20Chemie/Fibertec/Fibertec_8000_Solution_Brochure_GB%20pdf.pdf" TargetMode="External" Id="rId18"/><Relationship Type="http://schemas.openxmlformats.org/officeDocument/2006/relationships/hyperlink" Target="https://www.fossanalytics.com/en/products/kn-295-knifetec" TargetMode="External" Id="rId19"/><Relationship Type="http://schemas.openxmlformats.org/officeDocument/2006/relationships/hyperlink" Target="https://www.fossanalytics.com/en/products/soxtec-8000" TargetMode="External" Id="rId20"/><Relationship Type="http://schemas.openxmlformats.org/officeDocument/2006/relationships/hyperlink" Target="https://www.fossanalytics.com/products/soxtec_labtec-st-255" TargetMode="External" Id="rId21"/><Relationship Type="http://schemas.openxmlformats.org/officeDocument/2006/relationships/hyperlink" Target="https://www.fritsch-international.com/sample-preparation/milling/cutting-mills/details/product/pulverisette-19-50-700-rpm/" TargetMode="External" Id="rId22"/><Relationship Type="http://schemas.openxmlformats.org/officeDocument/2006/relationships/hyperlink" Target="https://www.gafta.com/approved-registers/analysts/" TargetMode="External" Id="rId23"/><Relationship Type="http://schemas.openxmlformats.org/officeDocument/2006/relationships/hyperlink" Target="https://www.gafta.com/register-of-analysis-methods/" TargetMode="External" Id="rId24"/><Relationship Type="http://schemas.openxmlformats.org/officeDocument/2006/relationships/hyperlink" Target="https://www.gardco.com/product/tap-density-testers/01tTr00000BbcbTIAR" TargetMode="External" Id="rId25"/><Relationship Type="http://schemas.openxmlformats.org/officeDocument/2006/relationships/hyperlink" Target="https://www.gerhardt.de/en/products/rapid-extraction-system-soxtherm/" TargetMode="External" Id="rId26"/><Relationship Type="http://schemas.openxmlformats.org/officeDocument/2006/relationships/hyperlink" Target="https://www.globalgilson.com/8-inch-sieve-all-stainless-full-height-number-18" TargetMode="External" Id="rId27"/><Relationship Type="http://schemas.openxmlformats.org/officeDocument/2006/relationships/hyperlink" Target="https://www.hach.com/p-dr3900-laboratory-vis-spectrophotometer-with-rfid-technology/LPV440.99.00012" TargetMode="External" Id="rId28"/><Relationship Type="http://schemas.openxmlformats.org/officeDocument/2006/relationships/hyperlink" Target="https://www.hach.com/p-dr6000-uv-vis-spectrophotometer-with-rfid-technology/LPV441.99.00012" TargetMode="External" Id="rId29"/><Relationship Type="http://schemas.openxmlformats.org/officeDocument/2006/relationships/hyperlink" Target="https://www.hitachi-hightech.com/global/en/products/analytical-systems/hplc/amino-acid-analyzers/la8080.html" TargetMode="External" Id="rId30"/><Relationship Type="http://schemas.openxmlformats.org/officeDocument/2006/relationships/hyperlink" Target="https://www.humboldtmfg.com/sieves-8-dia-stainless-frame-and-mesh-no-18-100-mm-full-height-2-50-mm.html" TargetMode="External" Id="rId31"/><Relationship Type="http://schemas.openxmlformats.org/officeDocument/2006/relationships/hyperlink" Target="https://www.hunterlab.com/en/products/benchtop-spectrophotometers/colorflex-ez/" TargetMode="External" Id="rId32"/><Relationship Type="http://schemas.openxmlformats.org/officeDocument/2006/relationships/hyperlink" Target="https://www.hunterlab.com/en/products/benchtop-spectrophotometers/colorflex-l2/" TargetMode="External" Id="rId33"/><Relationship Type="http://schemas.openxmlformats.org/officeDocument/2006/relationships/hyperlink" Target="https://www.midlandsci.com/655590.html" TargetMode="External" Id="rId34"/><Relationship Type="http://schemas.openxmlformats.org/officeDocument/2006/relationships/hyperlink" Target="https://www.iso.org/standard/12865.html" TargetMode="External" Id="rId35"/><Relationship Type="http://schemas.openxmlformats.org/officeDocument/2006/relationships/hyperlink" Target="https://www.iso.org/standard/12871.html" TargetMode="External" Id="rId36"/><Relationship Type="http://schemas.openxmlformats.org/officeDocument/2006/relationships/hyperlink" Target="https://sensing.konicaminolta.us/us/products/cr-400-chroma-meter-colorimeter/" TargetMode="External" Id="rId37"/><Relationship Type="http://schemas.openxmlformats.org/officeDocument/2006/relationships/hyperlink" Target="https://www.kpmanalytics.com/products/moisture-compositional/spectrastar-xt-r" TargetMode="External" Id="rId38"/><Relationship Type="http://schemas.openxmlformats.org/officeDocument/2006/relationships/hyperlink" Target="https://www.leco.com/products/828-series/" TargetMode="External" Id="rId39"/><Relationship Type="http://schemas.openxmlformats.org/officeDocument/2006/relationships/hyperlink" Target="https://www.leco.com/resources/methods/" TargetMode="External" Id="rId40"/><Relationship Type="http://schemas.openxmlformats.org/officeDocument/2006/relationships/hyperlink" Target="https://www.leco.com/products/thermogravimetric-analyzer/" TargetMode="External" Id="rId41"/><Relationship Type="http://schemas.openxmlformats.org/officeDocument/2006/relationships/hyperlink" Target="https://www.genlabdirect.com/leco-corporation-pkg-tga801-single-unit-t-screen-pc-tga801-smc" TargetMode="External" Id="rId42"/><Relationship Type="http://schemas.openxmlformats.org/officeDocument/2006/relationships/hyperlink" Target="https://www.midlandsci.com/MEGAZYME_K-TSTA" TargetMode="External" Id="rId43"/><Relationship Type="http://schemas.openxmlformats.org/officeDocument/2006/relationships/hyperlink" Target="https://www.megazyme.com/total-starch-assay-kit" TargetMode="External" Id="rId44"/><Relationship Type="http://schemas.openxmlformats.org/officeDocument/2006/relationships/hyperlink" Target="https://nabertherm.com/en/products/labor/muffle-furnaces/muffle-furnaces-embedded-heating-elements-ceramic-muffle-1100-degc" TargetMode="External" Id="rId45"/><Relationship Type="http://schemas.openxmlformats.org/officeDocument/2006/relationships/hyperlink" Target="https://www.genlabdirect.com/nabertherm-inc-muffle-furnace-l9-11-skm-b510-1100c-240v-lm094k1ln1-240" TargetMode="External" Id="rId46"/><Relationship Type="http://schemas.openxmlformats.org/officeDocument/2006/relationships/hyperlink" Target="https://shop.perkinelmer.com/product/PER072500" TargetMode="External" Id="rId47"/><Relationship Type="http://schemas.openxmlformats.org/officeDocument/2006/relationships/hyperlink" Target="https://www.retsch.com/products/sieving/sieve-shakers/as-200-basic" TargetMode="External" Id="rId48"/><Relationship Type="http://schemas.openxmlformats.org/officeDocument/2006/relationships/hyperlink" Target="https://www.retsch.com/products/sieving/sieve-shakers/as-200-control/" TargetMode="External" Id="rId49"/><Relationship Type="http://schemas.openxmlformats.org/officeDocument/2006/relationships/hyperlink" Target="https://www.retsch.com/products/assisting/sample-divider/pt-100/" TargetMode="External" Id="rId50"/><Relationship Type="http://schemas.openxmlformats.org/officeDocument/2006/relationships/hyperlink" Target="https://www.retsch.com/products/milling/rotor-mills/zm-300/" TargetMode="External" Id="rId51"/><Relationship Type="http://schemas.openxmlformats.org/officeDocument/2006/relationships/hyperlink" Target="https://certifiedmtp.com/retsch-zm-300-ultra-centrifugal-mill/" TargetMode="External" Id="rId52"/><Relationship Type="http://schemas.openxmlformats.org/officeDocument/2006/relationships/hyperlink" Target="https://www.labulk.com/labulk-0302-scott-volumeter-version-ups-616/" TargetMode="External" Id="rId53"/><Relationship Type="http://schemas.openxmlformats.org/officeDocument/2006/relationships/hyperlink" Target="https://www.shimadzu.com/an/products/liquid-chromatography/hplc-system/amino-acid-analysis-system/index.html" TargetMode="External" Id="rId54"/><Relationship Type="http://schemas.openxmlformats.org/officeDocument/2006/relationships/hyperlink" Target="https://www.shimadzu.com/an/sites/shimadzu.com.an/files/pim/pim_document_file/applications/application_note/13742/apl220024.pdf" TargetMode="External" Id="rId55"/><Relationship Type="http://schemas.openxmlformats.org/officeDocument/2006/relationships/hyperlink" Target="https://www.shimadzu.com/an/resources/movies/LCMS-8040/index.html" TargetMode="External" Id="rId56"/><Relationship Type="http://schemas.openxmlformats.org/officeDocument/2006/relationships/hyperlink" Target="https://www.ssi.shimadzu.com/sites/ssi.shimadzu.com/files/pim/pim_document_file/ssi/applications/application_note/14880/LCMS-8030_8040%20Application%20-%20Mycotoxins%20%28SSI%29.pdf" TargetMode="External" Id="rId57"/><Relationship Type="http://schemas.openxmlformats.org/officeDocument/2006/relationships/hyperlink" Target="https://www.shimadzu.com/an/products/liquid-chromatograph-mass-spectrometry/lc-ms-system/lcmsms-method-package-for-mycotoxins/index.html" TargetMode="External" Id="rId58"/><Relationship Type="http://schemas.openxmlformats.org/officeDocument/2006/relationships/hyperlink" Target="https://www.shimadzu.com/an/products/uv-vis/uv-vis-nir-spectroscopy/uv-1900i-plus/index.html" TargetMode="External" Id="rId59"/><Relationship Type="http://schemas.openxmlformats.org/officeDocument/2006/relationships/hyperlink" Target="https://www.labx.com/product/soxhlet-extractor" TargetMode="External" Id="rId60"/><Relationship Type="http://schemas.openxmlformats.org/officeDocument/2006/relationships/hyperlink" Target="https://sykam.com/products/amino-acid-analyzers/" TargetMode="External" Id="rId61"/><Relationship Type="http://schemas.openxmlformats.org/officeDocument/2006/relationships/hyperlink" Target="https://sykam.com/product/amino-acid-analyzers/s-433-amino-acid-analyzer/" TargetMode="External" Id="rId62"/><Relationship Type="http://schemas.openxmlformats.org/officeDocument/2006/relationships/hyperlink" Target="https://www.thermofisher.com/order/catalog/product/840-341400" TargetMode="External" Id="rId63"/><Relationship Type="http://schemas.openxmlformats.org/officeDocument/2006/relationships/hyperlink" Target="https://www.thermofisher.com/order/catalog/product/F6010" TargetMode="External" Id="rId64"/><Relationship Type="http://schemas.openxmlformats.org/officeDocument/2006/relationships/hyperlink" Target="https://www.thermofisher.com/order/catalog/product/51028112" TargetMode="External" Id="rId65"/><Relationship Type="http://schemas.openxmlformats.org/officeDocument/2006/relationships/hyperlink" Target="https://www.usp.org/sites/default/files/usp/document/harmonization/gen-chapter/bulk_density.pdf" TargetMode="External" Id="rId66"/><Relationship Type="http://schemas.openxmlformats.org/officeDocument/2006/relationships/hyperlink" Target="https://www.fishersci.co.uk/shop/products/fiwe6-fiber-analyzer/11775714" TargetMode="External" Id="rId67"/><Relationship Type="http://schemas.openxmlformats.org/officeDocument/2006/relationships/hyperlink" Target="https://www.velp.com/en-ww/fiwe-advance-automatic-fiber-analyzer.aspx" TargetMode="External" Id="rId68"/><Relationship Type="http://schemas.openxmlformats.org/officeDocument/2006/relationships/hyperlink" Target="https://www.velp.com/public/file/VELPFIWE-ADVANCEENrev06-316514.pdf" TargetMode="External" Id="rId69"/><Relationship Type="http://schemas.openxmlformats.org/officeDocument/2006/relationships/hyperlink" Target="https://www.fishersci.com/shop/products/ser148-3-solvent-extractor/11392213" TargetMode="External" Id="rId70"/><Relationship Type="http://schemas.openxmlformats.org/officeDocument/2006/relationships/hyperlink" Target="https://www.velp.com/en-ww/ser-158-series-automatic-solvent-extractor.aspx" TargetMode="External" Id="rId71"/><Relationship Type="http://schemas.openxmlformats.org/officeDocument/2006/relationships/hyperlink" Target="https://www.gafta.com/register-of-analysis-methods/" TargetMode="External" Id="rId72"/><Relationship Type="http://schemas.openxmlformats.org/officeDocument/2006/relationships/hyperlink" Target="https://www.gafta.com/media/uruntizb/introduction.pdf" TargetMode="External" Id="rId73"/><Relationship Type="http://schemas.openxmlformats.org/officeDocument/2006/relationships/hyperlink" Target="https://www.gafta.com/media/e5nfkyfa/gafta-ring-test-scheme-protocol-v2-july-2026.pdf" TargetMode="External" Id="rId74"/><Relationship Type="http://schemas.openxmlformats.org/officeDocument/2006/relationships/hyperlink" Target="https://www.fossanalytics.com/-/media/files/documents/brochuresanddatasheets/products/soxtec/sc-247-soxcap-and-st-243-255-soxtec/st-255-soxtec-solution-brochure-gb.pdf" TargetMode="External" Id="rId75"/><Relationship Type="http://schemas.openxmlformats.org/officeDocument/2006/relationships/hyperlink" Target="https://www.fossanalytics.com/-/media/files/documents/brochuresanddatasheets/products/soxtec/soxtec-8000/soxtec-8000-solution-brochure-gb.pdf" TargetMode="External" Id="rId76"/><Relationship Type="http://schemas.openxmlformats.org/officeDocument/2006/relationships/hyperlink" Target="https://www.fossanalytics.com/-/media/files/documents/brochuresanddatasheets/products/fibertec-8000/fibertec_8000_solution_brochure_gb.pdf" TargetMode="External" Id="rId77"/><Relationship Type="http://schemas.openxmlformats.org/officeDocument/2006/relationships/hyperlink" Target="https://www.fossanalytics.com/en/products/ft-122-fibertec" TargetMode="External" Id="rId78"/><Relationship Type="http://schemas.openxmlformats.org/officeDocument/2006/relationships/hyperlink" Target="https://www.velp.com/public/file/crude-fiber-determination-in-feed-weende-method-fiwe-advance-206314.pdf" TargetMode="External" Id="rId79"/><Relationship Type="http://schemas.openxmlformats.org/officeDocument/2006/relationships/hyperlink" Target="https://www.velp.com/public/file/crude-fiber-determination-in-dog-food-201431.pdf" TargetMode="External" Id="rId80"/><Relationship Type="http://schemas.openxmlformats.org/officeDocument/2006/relationships/hyperlink" Target="https://www.iso.org/standard/12866.html" TargetMode="External" Id="rId81"/><Relationship Type="http://schemas.openxmlformats.org/officeDocument/2006/relationships/hyperlink" Target="https://www.anton-paar.com/corp-en/products/details/modular-compact-polarimeter-mcp/" TargetMode="External" Id="rId82"/><Relationship Type="http://schemas.openxmlformats.org/officeDocument/2006/relationships/hyperlink" Target="https://rudolphresearch.com/products/polarimeters/autopol-i/" TargetMode="External" Id="rId83"/><Relationship Type="http://schemas.openxmlformats.org/officeDocument/2006/relationships/hyperlink" Target="https://schmidt-haensch.com/product/unipol-v-digital-polarimeter/" TargetMode="External" Id="rId84"/><Relationship Type="http://schemas.openxmlformats.org/officeDocument/2006/relationships/table" Target="/xl/tables/table7.xml" Id="rId85"/></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4E78"/>
    <outlinePr summaryBelow="1" summaryRight="1"/>
    <pageSetUpPr fitToPage="1"/>
  </sheetPr>
  <dimension ref="A1:B9"/>
  <sheetViews>
    <sheetView showGridLines="0" workbookViewId="0">
      <selection activeCell="A1" sqref="A1"/>
    </sheetView>
  </sheetViews>
  <sheetFormatPr baseColWidth="8" defaultRowHeight="15"/>
  <cols>
    <col width="18" customWidth="1" min="1" max="1"/>
    <col width="110" customWidth="1" min="2" max="2"/>
  </cols>
  <sheetData>
    <row r="1">
      <c r="A1" s="47" t="inlineStr">
        <is>
          <t>DDGS Instrument Options Matrix</t>
        </is>
      </c>
      <c r="B1" s="25" t="n"/>
    </row>
    <row r="2">
      <c r="A2" s="3" t="n"/>
      <c r="B2" s="3" t="n"/>
    </row>
    <row r="3">
      <c r="A3" s="4" t="inlineStr">
        <is>
          <t>Purpose</t>
        </is>
      </c>
      <c r="B3" s="5" t="inlineStr">
        <is>
          <t>Gafta-first purchasing matrix for the Adams Independent Testing DDGS laboratory. The active Instrument Options sheet now retains only exact Gafta method pathways, conditional exact-method pathways with vendor evidence, or tests for which no applicable Gafta No.130 method is listed.</t>
        </is>
      </c>
    </row>
    <row r="4">
      <c r="A4" s="4" t="inlineStr">
        <is>
          <t>Important status</t>
        </is>
      </c>
      <c r="B4" s="5" t="inlineStr">
        <is>
          <t>Existing LCMS-8040RX and ICP-OES are marked as owned. Non-Gafta replacement technologies were removed from the active purchasing list and documented on Excluded or Hold.</t>
        </is>
      </c>
    </row>
    <row r="5">
      <c r="A5" s="4" t="inlineStr">
        <is>
          <t>How to use</t>
        </is>
      </c>
      <c r="B5" s="5" t="inlineStr">
        <is>
          <t>Start with Gafta Method Gate. Use Instrument Options to compare active equipment. Filter the In Scenario A/B/C/D columns for strict purchasing scenarios. Review Excluded or Hold before reconsidering any removed system.</t>
        </is>
      </c>
    </row>
    <row r="6">
      <c r="A6" s="4" t="inlineStr">
        <is>
          <t>Price caveat</t>
        </is>
      </c>
      <c r="B6" s="5" t="inlineStr">
        <is>
          <t>Prices remain budgetary 2026 U.S. estimates or public prices. Final purchase requires vendor quotation, exact current ISO method package, utilities, installation, IQ/OQ and service review.</t>
        </is>
      </c>
    </row>
    <row r="7">
      <c r="A7" s="4" t="inlineStr">
        <is>
          <t>Method caveat</t>
        </is>
      </c>
      <c r="B7" s="5" t="inlineStr">
        <is>
          <t>Where Gafta lists a method, the active option must execute that named method. Where no applicable Gafta method is listed, the workbook labels the test as customer-agreed and requires the actual method to be stated on the report.</t>
        </is>
      </c>
    </row>
    <row r="9">
      <c r="A9" s="26" t="inlineStr">
        <is>
          <t>Updated in v2</t>
        </is>
      </c>
      <c r="B9" s="27" t="inlineStr">
        <is>
          <t>Strict Gafta revision: removed ANKOM XT15/DELTA, NIR, enzymatic starch options, Fibertec 1023, TGA801 from the active list, and extraction systems not demonstrated for ISO 6492 Procedure A. Added ISO 6493 polarimeter options and FOSS FT 122/121.</t>
        </is>
      </c>
    </row>
  </sheetData>
  <mergeCells count="1">
    <mergeCell ref="A1:B1"/>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70AD47"/>
    <outlinePr summaryBelow="1" summaryRight="1"/>
    <pageSetUpPr fitToPage="1"/>
  </sheetPr>
  <dimension ref="A1:H55"/>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24" customWidth="1" min="3" max="3"/>
    <col width="30" customWidth="1" min="4" max="4"/>
    <col width="18" customWidth="1" min="5" max="5"/>
    <col width="40" customWidth="1" min="6" max="6"/>
    <col width="42" customWidth="1" min="7" max="7"/>
    <col width="42" customWidth="1" min="8" max="8"/>
  </cols>
  <sheetData>
    <row r="1">
      <c r="A1" s="28" t="inlineStr">
        <is>
          <t>COA analyte / line item</t>
        </is>
      </c>
      <c r="B1" s="28" t="inlineStr">
        <is>
          <t>COA example result</t>
        </is>
      </c>
      <c r="C1" s="28" t="inlineStr">
        <is>
          <t>COA method</t>
        </is>
      </c>
      <c r="D1" s="28" t="inlineStr">
        <is>
          <t>Recommended coverage</t>
        </is>
      </c>
      <c r="E1" s="28" t="inlineStr">
        <is>
          <t>Option ID(s)</t>
        </is>
      </c>
      <c r="F1" s="28" t="inlineStr">
        <is>
          <t>Comments / open issues</t>
        </is>
      </c>
      <c r="G1" s="28" t="inlineStr">
        <is>
          <t>Standard/common equation / logic</t>
        </is>
      </c>
      <c r="H1" s="28" t="inlineStr">
        <is>
          <t>Equation note / source context</t>
        </is>
      </c>
    </row>
    <row r="2">
      <c r="A2" s="29" t="inlineStr">
        <is>
          <t>Phosphorus</t>
        </is>
      </c>
      <c r="B2" s="29" t="inlineStr">
        <is>
          <t>1.15 %</t>
        </is>
      </c>
      <c r="C2" s="29" t="inlineStr">
        <is>
          <t>ANA008CHEM</t>
        </is>
      </c>
      <c r="D2" s="29" t="inlineStr">
        <is>
          <t>Existing ICP-OES for the customer method; UV-Vis ISO 6491 for Gafta reporting</t>
        </is>
      </c>
      <c r="E2" s="29" t="inlineStr">
        <is>
          <t>MIN-01; MIN-02 or MIN-03</t>
        </is>
      </c>
      <c r="F2" s="29" t="inlineStr">
        <is>
          <t>Gafta phosphorus must be ISO 6491. ICP phosphorus remains a separately named customer method and cannot be reported as the Gafta result.</t>
        </is>
      </c>
      <c r="G2" s="30" t="n"/>
      <c r="H2" s="30" t="inlineStr">
        <is>
          <t>Gafta method listed - exact named method required</t>
        </is>
      </c>
    </row>
    <row r="3">
      <c r="A3" s="31" t="inlineStr">
        <is>
          <t>Potassium</t>
        </is>
      </c>
      <c r="B3" s="31" t="inlineStr">
        <is>
          <t>1.46 %</t>
        </is>
      </c>
      <c r="C3" s="31" t="inlineStr">
        <is>
          <t>ANA008CHEM</t>
        </is>
      </c>
      <c r="D3" s="31" t="inlineStr">
        <is>
          <t>Existing ICP-OES</t>
        </is>
      </c>
      <c r="E3" s="31" t="inlineStr">
        <is>
          <t>MIN-01</t>
        </is>
      </c>
      <c r="F3" s="31" t="inlineStr">
        <is>
          <t>No potassium method is listed in Gafta No.130 for this DDGS application; use the controlled customer-agreed ICP method.</t>
        </is>
      </c>
      <c r="G3" s="30" t="n"/>
      <c r="H3" s="30" t="inlineStr">
        <is>
          <t>No applicable Gafta No.130 method listed - customer-agreed method</t>
        </is>
      </c>
    </row>
    <row r="4">
      <c r="A4" s="31" t="inlineStr">
        <is>
          <t>Calcium</t>
        </is>
      </c>
      <c r="B4" s="31" t="inlineStr">
        <is>
          <t>0.26 %</t>
        </is>
      </c>
      <c r="C4" s="31" t="inlineStr">
        <is>
          <t>ANA008CHEM</t>
        </is>
      </c>
      <c r="D4" s="31" t="inlineStr">
        <is>
          <t>Existing ICP-OES</t>
        </is>
      </c>
      <c r="E4" s="31" t="inlineStr">
        <is>
          <t>MIN-01</t>
        </is>
      </c>
      <c r="F4" s="31" t="inlineStr">
        <is>
          <t>Gafta Method 14.0 names calcium and permits ICP detection under ISO 6869.</t>
        </is>
      </c>
      <c r="G4" s="30" t="n"/>
      <c r="H4" s="30" t="inlineStr">
        <is>
          <t>Gafta method listed - exact named method required</t>
        </is>
      </c>
    </row>
    <row r="5">
      <c r="A5" s="31" t="inlineStr">
        <is>
          <t>Magnesium</t>
        </is>
      </c>
      <c r="B5" s="31" t="inlineStr">
        <is>
          <t>0.45 %</t>
        </is>
      </c>
      <c r="C5" s="31" t="inlineStr">
        <is>
          <t>ANA008CHEM</t>
        </is>
      </c>
      <c r="D5" s="31" t="inlineStr">
        <is>
          <t>Existing ICP-OES</t>
        </is>
      </c>
      <c r="E5" s="31" t="inlineStr">
        <is>
          <t>MIN-01</t>
        </is>
      </c>
      <c r="F5" s="31" t="inlineStr">
        <is>
          <t>Gafta Method 14.0 names magnesium and permits ICP detection under ISO 6869.</t>
        </is>
      </c>
      <c r="G5" s="30" t="n"/>
      <c r="H5" s="30" t="inlineStr">
        <is>
          <t>Gafta method listed - exact named method required</t>
        </is>
      </c>
    </row>
    <row r="6">
      <c r="A6" s="31" t="inlineStr">
        <is>
          <t>Zinc</t>
        </is>
      </c>
      <c r="B6" s="31" t="inlineStr">
        <is>
          <t>53.52 PPM</t>
        </is>
      </c>
      <c r="C6" s="31" t="inlineStr">
        <is>
          <t>ANA008CHEM</t>
        </is>
      </c>
      <c r="D6" s="31" t="inlineStr">
        <is>
          <t>Existing ICP-OES</t>
        </is>
      </c>
      <c r="E6" s="31" t="inlineStr">
        <is>
          <t>MIN-01</t>
        </is>
      </c>
      <c r="F6" s="31" t="inlineStr">
        <is>
          <t>No zinc method is named in the current Gafta register heading; use the customer-agreed ICP method and do not call it Gafta Method 14.0.</t>
        </is>
      </c>
      <c r="G6" s="30" t="n"/>
      <c r="H6" s="30" t="inlineStr">
        <is>
          <t>No applicable Gafta No.130 method listed - customer-agreed method</t>
        </is>
      </c>
    </row>
    <row r="7">
      <c r="A7" s="31" t="inlineStr">
        <is>
          <t>Manganese</t>
        </is>
      </c>
      <c r="B7" s="31" t="inlineStr">
        <is>
          <t>19.74 PPM</t>
        </is>
      </c>
      <c r="C7" s="31" t="inlineStr">
        <is>
          <t>ANA008CHEM</t>
        </is>
      </c>
      <c r="D7" s="31" t="inlineStr">
        <is>
          <t>Existing ICP-OES</t>
        </is>
      </c>
      <c r="E7" s="31" t="inlineStr">
        <is>
          <t>MIN-01</t>
        </is>
      </c>
      <c r="F7" s="31" t="inlineStr">
        <is>
          <t>No manganese method is named in the current Gafta register heading; use the customer-agreed ICP method.</t>
        </is>
      </c>
      <c r="G7" s="30" t="n"/>
      <c r="H7" s="30" t="inlineStr">
        <is>
          <t>No applicable Gafta No.130 method listed - customer-agreed method</t>
        </is>
      </c>
    </row>
    <row r="8">
      <c r="A8" s="31" t="inlineStr">
        <is>
          <t>Copper</t>
        </is>
      </c>
      <c r="B8" s="31" t="inlineStr">
        <is>
          <t>4.95 PPM</t>
        </is>
      </c>
      <c r="C8" s="31" t="inlineStr">
        <is>
          <t>ANA008CHEM</t>
        </is>
      </c>
      <c r="D8" s="31" t="inlineStr">
        <is>
          <t>Existing ICP-OES</t>
        </is>
      </c>
      <c r="E8" s="31" t="inlineStr">
        <is>
          <t>MIN-01</t>
        </is>
      </c>
      <c r="F8" s="31" t="inlineStr">
        <is>
          <t>No copper method is named in the current Gafta register heading; use the customer-agreed ICP method.</t>
        </is>
      </c>
      <c r="G8" s="30" t="n"/>
      <c r="H8" s="30" t="inlineStr">
        <is>
          <t>No applicable Gafta No.130 method listed - customer-agreed method</t>
        </is>
      </c>
    </row>
    <row r="9">
      <c r="A9" s="31" t="inlineStr">
        <is>
          <t>Iron</t>
        </is>
      </c>
      <c r="B9" s="31" t="inlineStr">
        <is>
          <t>94.81 PPM</t>
        </is>
      </c>
      <c r="C9" s="31" t="inlineStr">
        <is>
          <t>ANA008CHEM</t>
        </is>
      </c>
      <c r="D9" s="31" t="inlineStr">
        <is>
          <t>Existing ICP-OES</t>
        </is>
      </c>
      <c r="E9" s="31" t="inlineStr">
        <is>
          <t>MIN-01</t>
        </is>
      </c>
      <c r="F9" s="31" t="inlineStr">
        <is>
          <t>No iron method is named in the current Gafta register heading; use the customer-agreed ICP method.</t>
        </is>
      </c>
      <c r="G9" s="30" t="n"/>
      <c r="H9" s="30" t="inlineStr">
        <is>
          <t>No applicable Gafta No.130 method listed - customer-agreed method</t>
        </is>
      </c>
    </row>
    <row r="10">
      <c r="A10" s="31" t="inlineStr">
        <is>
          <t>Sodium</t>
        </is>
      </c>
      <c r="B10" s="31" t="inlineStr">
        <is>
          <t>0.43 %</t>
        </is>
      </c>
      <c r="C10" s="31" t="inlineStr">
        <is>
          <t>ANA008CHEM</t>
        </is>
      </c>
      <c r="D10" s="31" t="inlineStr">
        <is>
          <t>Existing ICP-OES</t>
        </is>
      </c>
      <c r="E10" s="31" t="inlineStr">
        <is>
          <t>MIN-01</t>
        </is>
      </c>
      <c r="F10" s="31" t="inlineStr">
        <is>
          <t>Gafta Method 14.0 and Method 20.0 expressly permit ICP detection for sodium when the respective ISO procedure is followed.</t>
        </is>
      </c>
      <c r="G10" s="30" t="n"/>
      <c r="H10" s="30" t="inlineStr">
        <is>
          <t>Gafta method listed - exact named method required</t>
        </is>
      </c>
    </row>
    <row r="11">
      <c r="A11" s="31" t="inlineStr">
        <is>
          <t>Sulfur</t>
        </is>
      </c>
      <c r="B11" s="31" t="inlineStr">
        <is>
          <t>0.68 %</t>
        </is>
      </c>
      <c r="C11" s="31" t="inlineStr">
        <is>
          <t>ANA008CHEM</t>
        </is>
      </c>
      <c r="D11" s="31" t="inlineStr">
        <is>
          <t>Existing ICP-OES, validated customer method</t>
        </is>
      </c>
      <c r="E11" s="31" t="inlineStr">
        <is>
          <t>MIN-01</t>
        </is>
      </c>
      <c r="F11" s="31" t="inlineStr">
        <is>
          <t>No Gafta No.130 feed sulfur method is listed; use a separately controlled customer-agreed method.</t>
        </is>
      </c>
      <c r="G11" s="30" t="n"/>
      <c r="H11" s="30" t="inlineStr">
        <is>
          <t>No applicable Gafta No.130 method listed - customer-agreed method</t>
        </is>
      </c>
    </row>
    <row r="12">
      <c r="A12" s="29" t="inlineStr">
        <is>
          <t>Cysteine</t>
        </is>
      </c>
      <c r="B12" s="29" t="inlineStr">
        <is>
          <t>1.06 %</t>
        </is>
      </c>
      <c r="C12" s="29" t="inlineStr">
        <is>
          <t>AOAC 994.12</t>
        </is>
      </c>
      <c r="D12" s="29" t="inlineStr">
        <is>
          <t>Amino acid analyzer + oxidized hydrolysis stream</t>
        </is>
      </c>
      <c r="E12" s="29" t="inlineStr">
        <is>
          <t>AA-01 or AA-02 or AA-03/AA-04 + AA-PREP-01</t>
        </is>
      </c>
      <c r="F12" s="29" t="inlineStr">
        <is>
          <t>Sulfur amino acids require oxidation pathway; microwave alone does not eliminate this.</t>
        </is>
      </c>
      <c r="G12" s="30" t="n"/>
      <c r="H12" s="30" t="n"/>
    </row>
    <row r="13">
      <c r="A13" s="29" t="inlineStr">
        <is>
          <t>Methionine</t>
        </is>
      </c>
      <c r="B13" s="29" t="inlineStr">
        <is>
          <t>0.94 %</t>
        </is>
      </c>
      <c r="C13" s="29" t="inlineStr">
        <is>
          <t>AOAC 994.12</t>
        </is>
      </c>
      <c r="D13" s="29" t="inlineStr">
        <is>
          <t>Amino acid analyzer + oxidized hydrolysis stream</t>
        </is>
      </c>
      <c r="E13" s="29" t="inlineStr">
        <is>
          <t>AA-01 or AA-02 or AA-03/AA-04 + AA-PREP-01</t>
        </is>
      </c>
      <c r="F13" s="29" t="inlineStr">
        <is>
          <t>Sulfur amino acids require oxidation pathway.</t>
        </is>
      </c>
      <c r="G13" s="30" t="n"/>
      <c r="H13" s="30" t="n"/>
    </row>
    <row r="14">
      <c r="A14" s="29" t="inlineStr">
        <is>
          <t>Tryptophan</t>
        </is>
      </c>
      <c r="B14" s="29" t="inlineStr">
        <is>
          <t>0.23 %</t>
        </is>
      </c>
      <c r="C14" s="29" t="inlineStr">
        <is>
          <t>AOAC 988.15</t>
        </is>
      </c>
      <c r="D14" s="29" t="inlineStr">
        <is>
          <t>Amino acid analyzer + separate alkaline hydrolysis</t>
        </is>
      </c>
      <c r="E14" s="29" t="inlineStr">
        <is>
          <t>AA-01 or AA-02 or AA-03/AA-04 + AA-PREP-01</t>
        </is>
      </c>
      <c r="F14" s="29" t="inlineStr">
        <is>
          <t>Separate prep; acid hydrolysis destroys tryptophan.</t>
        </is>
      </c>
      <c r="G14" s="30" t="n"/>
      <c r="H14" s="30" t="n"/>
    </row>
    <row r="15">
      <c r="A15" s="29" t="inlineStr">
        <is>
          <t>Alanine</t>
        </is>
      </c>
      <c r="B15" s="29" t="inlineStr">
        <is>
          <t>1.51 %</t>
        </is>
      </c>
      <c r="C15" s="29" t="inlineStr">
        <is>
          <t>AOAC 994.12</t>
        </is>
      </c>
      <c r="D15" s="29" t="inlineStr">
        <is>
          <t>Amino acid analyzer + acid hydrolysis</t>
        </is>
      </c>
      <c r="E15" s="29" t="inlineStr">
        <is>
          <t>AA-01 or AA-02 or AA-03/AA-04</t>
        </is>
      </c>
      <c r="F15" s="29" t="inlineStr">
        <is>
          <t>Part of routine AA profile.</t>
        </is>
      </c>
      <c r="G15" s="30" t="n"/>
      <c r="H15" s="30" t="n"/>
    </row>
    <row r="16">
      <c r="A16" s="29" t="inlineStr">
        <is>
          <t>Arginine</t>
        </is>
      </c>
      <c r="B16" s="29" t="inlineStr">
        <is>
          <t>1.15 %</t>
        </is>
      </c>
      <c r="C16" s="29" t="inlineStr">
        <is>
          <t>AOAC 994.12</t>
        </is>
      </c>
      <c r="D16" s="29" t="inlineStr">
        <is>
          <t>Amino acid analyzer + acid hydrolysis</t>
        </is>
      </c>
      <c r="E16" s="29" t="inlineStr">
        <is>
          <t>AA-01 or AA-02 or AA-03/AA-04</t>
        </is>
      </c>
      <c r="F16" s="29" t="inlineStr">
        <is>
          <t>Part of routine AA profile.</t>
        </is>
      </c>
      <c r="G16" s="30" t="n"/>
      <c r="H16" s="30" t="n"/>
    </row>
    <row r="17">
      <c r="A17" s="29" t="inlineStr">
        <is>
          <t>Aspartic Acid</t>
        </is>
      </c>
      <c r="B17" s="29" t="inlineStr">
        <is>
          <t>1.51 %</t>
        </is>
      </c>
      <c r="C17" s="29" t="inlineStr">
        <is>
          <t>AOAC 994.12</t>
        </is>
      </c>
      <c r="D17" s="29" t="inlineStr">
        <is>
          <t>Amino acid analyzer + acid hydrolysis</t>
        </is>
      </c>
      <c r="E17" s="29" t="inlineStr">
        <is>
          <t>AA-01 or AA-02 or AA-03/AA-04</t>
        </is>
      </c>
      <c r="F17" s="29" t="inlineStr">
        <is>
          <t>Asparagine converts to aspartic acid under acid hydrolysis; report method-specific result.</t>
        </is>
      </c>
      <c r="G17" s="30" t="n"/>
      <c r="H17" s="30" t="n"/>
    </row>
    <row r="18">
      <c r="A18" s="29" t="inlineStr">
        <is>
          <t>Glutamic Acid</t>
        </is>
      </c>
      <c r="B18" s="29" t="inlineStr">
        <is>
          <t>3.45 %</t>
        </is>
      </c>
      <c r="C18" s="29" t="inlineStr">
        <is>
          <t>AOAC 994.12</t>
        </is>
      </c>
      <c r="D18" s="29" t="inlineStr">
        <is>
          <t>Amino acid analyzer + acid hydrolysis</t>
        </is>
      </c>
      <c r="E18" s="29" t="inlineStr">
        <is>
          <t>AA-01 or AA-02 or AA-03/AA-04</t>
        </is>
      </c>
      <c r="F18" s="29" t="inlineStr">
        <is>
          <t>Glutamine converts to glutamic acid under acid hydrolysis; report method-specific result.</t>
        </is>
      </c>
      <c r="G18" s="30" t="n"/>
      <c r="H18" s="30" t="n"/>
    </row>
    <row r="19">
      <c r="A19" s="29" t="inlineStr">
        <is>
          <t>Glycine</t>
        </is>
      </c>
      <c r="B19" s="29" t="inlineStr">
        <is>
          <t>1.02 %</t>
        </is>
      </c>
      <c r="C19" s="29" t="inlineStr">
        <is>
          <t>AOAC 994.12</t>
        </is>
      </c>
      <c r="D19" s="29" t="inlineStr">
        <is>
          <t>Amino acid analyzer + acid hydrolysis</t>
        </is>
      </c>
      <c r="E19" s="29" t="inlineStr">
        <is>
          <t>AA-01 or AA-02 or AA-03/AA-04</t>
        </is>
      </c>
      <c r="F19" s="29" t="inlineStr">
        <is>
          <t>Part of routine AA profile.</t>
        </is>
      </c>
      <c r="G19" s="30" t="n"/>
      <c r="H19" s="30" t="n"/>
    </row>
    <row r="20">
      <c r="A20" s="29" t="inlineStr">
        <is>
          <t>Histidine</t>
        </is>
      </c>
      <c r="B20" s="29" t="inlineStr">
        <is>
          <t>0.69 %</t>
        </is>
      </c>
      <c r="C20" s="29" t="inlineStr">
        <is>
          <t>AOAC 994.12</t>
        </is>
      </c>
      <c r="D20" s="29" t="inlineStr">
        <is>
          <t>Amino acid analyzer + acid hydrolysis</t>
        </is>
      </c>
      <c r="E20" s="29" t="inlineStr">
        <is>
          <t>AA-01 or AA-02 or AA-03/AA-04</t>
        </is>
      </c>
      <c r="F20" s="29" t="inlineStr">
        <is>
          <t>Part of routine AA profile.</t>
        </is>
      </c>
      <c r="G20" s="30" t="n"/>
      <c r="H20" s="30" t="n"/>
    </row>
    <row r="21">
      <c r="A21" s="29" t="inlineStr">
        <is>
          <t>Isoleucine</t>
        </is>
      </c>
      <c r="B21" s="29" t="inlineStr">
        <is>
          <t>0.79 %</t>
        </is>
      </c>
      <c r="C21" s="29" t="inlineStr">
        <is>
          <t>AOAC 994.12</t>
        </is>
      </c>
      <c r="D21" s="29" t="inlineStr">
        <is>
          <t>Amino acid analyzer + acid hydrolysis</t>
        </is>
      </c>
      <c r="E21" s="29" t="inlineStr">
        <is>
          <t>AA-01 or AA-02 or AA-03/AA-04</t>
        </is>
      </c>
      <c r="F21" s="29" t="inlineStr">
        <is>
          <t>Part of routine AA profile.</t>
        </is>
      </c>
      <c r="G21" s="30" t="n"/>
      <c r="H21" s="30" t="n"/>
    </row>
    <row r="22">
      <c r="A22" s="29" t="inlineStr">
        <is>
          <t>Lysine</t>
        </is>
      </c>
      <c r="B22" s="29" t="inlineStr">
        <is>
          <t>0.94 %</t>
        </is>
      </c>
      <c r="C22" s="29" t="inlineStr">
        <is>
          <t>AOAC 994.12</t>
        </is>
      </c>
      <c r="D22" s="29" t="inlineStr">
        <is>
          <t>Amino acid analyzer + acid hydrolysis</t>
        </is>
      </c>
      <c r="E22" s="29" t="inlineStr">
        <is>
          <t>AA-01 or AA-02 or AA-03/AA-04</t>
        </is>
      </c>
      <c r="F22" s="29" t="inlineStr">
        <is>
          <t>Key DDGS nutritional AA; include reference materials where available.</t>
        </is>
      </c>
      <c r="G22" s="30" t="n"/>
      <c r="H22" s="30" t="n"/>
    </row>
    <row r="23">
      <c r="A23" s="29" t="inlineStr">
        <is>
          <t>Leucine</t>
        </is>
      </c>
      <c r="B23" s="29" t="inlineStr">
        <is>
          <t>2.37 %</t>
        </is>
      </c>
      <c r="C23" s="29" t="inlineStr">
        <is>
          <t>AOAC 994.12</t>
        </is>
      </c>
      <c r="D23" s="29" t="inlineStr">
        <is>
          <t>Amino acid analyzer + acid hydrolysis</t>
        </is>
      </c>
      <c r="E23" s="29" t="inlineStr">
        <is>
          <t>AA-01 or AA-02 or AA-03/AA-04</t>
        </is>
      </c>
      <c r="F23" s="29" t="inlineStr">
        <is>
          <t>Part of routine AA profile.</t>
        </is>
      </c>
      <c r="G23" s="30" t="n"/>
      <c r="H23" s="30" t="n"/>
    </row>
    <row r="24">
      <c r="A24" s="29" t="inlineStr">
        <is>
          <t>Phenylalanine</t>
        </is>
      </c>
      <c r="B24" s="29" t="inlineStr">
        <is>
          <t>1.11 %</t>
        </is>
      </c>
      <c r="C24" s="29" t="inlineStr">
        <is>
          <t>AOAC 994.12</t>
        </is>
      </c>
      <c r="D24" s="29" t="inlineStr">
        <is>
          <t>Amino acid analyzer + acid hydrolysis</t>
        </is>
      </c>
      <c r="E24" s="29" t="inlineStr">
        <is>
          <t>AA-01 or AA-02 or AA-03/AA-04</t>
        </is>
      </c>
      <c r="F24" s="29" t="inlineStr">
        <is>
          <t>Part of routine AA profile.</t>
        </is>
      </c>
      <c r="G24" s="30" t="n"/>
      <c r="H24" s="30" t="n"/>
    </row>
    <row r="25">
      <c r="A25" s="29" t="inlineStr">
        <is>
          <t>Proline</t>
        </is>
      </c>
      <c r="B25" s="29" t="inlineStr">
        <is>
          <t>2.09 %</t>
        </is>
      </c>
      <c r="C25" s="29" t="inlineStr">
        <is>
          <t>AOAC 994.12</t>
        </is>
      </c>
      <c r="D25" s="29" t="inlineStr">
        <is>
          <t>Amino acid analyzer; detector channel must cover secondary amines</t>
        </is>
      </c>
      <c r="E25" s="29" t="inlineStr">
        <is>
          <t>AA-01 or AA-02 or AA-03/AA-04</t>
        </is>
      </c>
      <c r="F25" s="29" t="inlineStr">
        <is>
          <t>Proline response depends on derivatization/detection chemistry; verify.</t>
        </is>
      </c>
      <c r="G25" s="30" t="n"/>
      <c r="H25" s="30" t="n"/>
    </row>
    <row r="26">
      <c r="A26" s="29" t="inlineStr">
        <is>
          <t>Serine</t>
        </is>
      </c>
      <c r="B26" s="29" t="inlineStr">
        <is>
          <t>1.07 %</t>
        </is>
      </c>
      <c r="C26" s="29" t="inlineStr">
        <is>
          <t>AOAC 994.12</t>
        </is>
      </c>
      <c r="D26" s="29" t="inlineStr">
        <is>
          <t>Amino acid analyzer + acid hydrolysis</t>
        </is>
      </c>
      <c r="E26" s="29" t="inlineStr">
        <is>
          <t>AA-01 or AA-02 or AA-03/AA-04</t>
        </is>
      </c>
      <c r="F26" s="29" t="inlineStr">
        <is>
          <t>Part of routine AA profile.</t>
        </is>
      </c>
      <c r="G26" s="30" t="n"/>
      <c r="H26" s="30" t="n"/>
    </row>
    <row r="27">
      <c r="A27" s="29" t="inlineStr">
        <is>
          <t>Threonine</t>
        </is>
      </c>
      <c r="B27" s="29" t="inlineStr">
        <is>
          <t>0.86 %</t>
        </is>
      </c>
      <c r="C27" s="29" t="inlineStr">
        <is>
          <t>AOAC 994.12</t>
        </is>
      </c>
      <c r="D27" s="29" t="inlineStr">
        <is>
          <t>Amino acid analyzer + acid hydrolysis</t>
        </is>
      </c>
      <c r="E27" s="29" t="inlineStr">
        <is>
          <t>AA-01 or AA-02 or AA-03/AA-04</t>
        </is>
      </c>
      <c r="F27" s="29" t="inlineStr">
        <is>
          <t>Part of routine AA profile.</t>
        </is>
      </c>
      <c r="G27" s="30" t="n"/>
      <c r="H27" s="30" t="n"/>
    </row>
    <row r="28">
      <c r="A28" s="29" t="inlineStr">
        <is>
          <t>Tyrosine</t>
        </is>
      </c>
      <c r="B28" s="29" t="inlineStr">
        <is>
          <t>0.83 %</t>
        </is>
      </c>
      <c r="C28" s="29" t="inlineStr">
        <is>
          <t>AOAC 994.12</t>
        </is>
      </c>
      <c r="D28" s="29" t="inlineStr">
        <is>
          <t>Amino acid analyzer + acid hydrolysis</t>
        </is>
      </c>
      <c r="E28" s="29" t="inlineStr">
        <is>
          <t>AA-01 or AA-02 or AA-03/AA-04</t>
        </is>
      </c>
      <c r="F28" s="29" t="inlineStr">
        <is>
          <t>Part of routine AA profile.</t>
        </is>
      </c>
      <c r="G28" s="30" t="n"/>
      <c r="H28" s="30" t="n"/>
    </row>
    <row r="29">
      <c r="A29" s="29" t="inlineStr">
        <is>
          <t>Valine</t>
        </is>
      </c>
      <c r="B29" s="29" t="inlineStr">
        <is>
          <t>1.08 %</t>
        </is>
      </c>
      <c r="C29" s="29" t="inlineStr">
        <is>
          <t>AOAC 994.12</t>
        </is>
      </c>
      <c r="D29" s="29" t="inlineStr">
        <is>
          <t>Amino acid analyzer + acid hydrolysis</t>
        </is>
      </c>
      <c r="E29" s="29" t="inlineStr">
        <is>
          <t>AA-01 or AA-02 or AA-03/AA-04</t>
        </is>
      </c>
      <c r="F29" s="29" t="inlineStr">
        <is>
          <t>Part of routine AA profile.</t>
        </is>
      </c>
      <c r="G29" s="30" t="n"/>
      <c r="H29" s="30" t="n"/>
    </row>
    <row r="30">
      <c r="A30" s="32" t="inlineStr">
        <is>
          <t>Sum of Amino Acids</t>
        </is>
      </c>
      <c r="B30" s="32" t="inlineStr">
        <is>
          <t>22.71 %</t>
        </is>
      </c>
      <c r="C30" s="32" t="inlineStr">
        <is>
          <t>Calculation</t>
        </is>
      </c>
      <c r="D30" s="32" t="inlineStr">
        <is>
          <t>LIMS calculation</t>
        </is>
      </c>
      <c r="E30" s="32" t="inlineStr">
        <is>
          <t>CALC-01</t>
        </is>
      </c>
      <c r="F30" s="32" t="inlineStr">
        <is>
          <t>Sum individual reported amino acids; define ND/rounding rules.</t>
        </is>
      </c>
      <c r="G30" s="30" t="n"/>
      <c r="H30" s="30" t="n"/>
    </row>
    <row r="31">
      <c r="A31" s="29" t="inlineStr">
        <is>
          <t>Bulk Density, Untapped</t>
        </is>
      </c>
      <c r="B31" s="29" t="inlineStr">
        <is>
          <t>44.00 g/100cc</t>
        </is>
      </c>
      <c r="C31" s="29" t="inlineStr">
        <is>
          <t>USP &lt;616&gt;</t>
        </is>
      </c>
      <c r="D31" s="29" t="inlineStr">
        <is>
          <t>Copley/ERWEKA tapped density tester plus manual bulk setup; Scott volumeter budget option</t>
        </is>
      </c>
      <c r="E31" s="29" t="inlineStr">
        <is>
          <t>DENS-01 or DENS-02 or DENS-03</t>
        </is>
      </c>
      <c r="F31" s="29" t="inlineStr">
        <is>
          <t>Confirm units and reporting; g/100cc equals 10 x g/mL.</t>
        </is>
      </c>
      <c r="G31" s="30" t="n"/>
      <c r="H31" s="30" t="inlineStr">
        <is>
          <t>No applicable Gafta No.130 method listed - customer-agreed method</t>
        </is>
      </c>
    </row>
    <row r="32">
      <c r="A32" s="29" t="inlineStr">
        <is>
          <t>Bulk Density, Tapped</t>
        </is>
      </c>
      <c r="B32" s="29" t="inlineStr">
        <is>
          <t>11.50 g/100cc</t>
        </is>
      </c>
      <c r="C32" s="29" t="inlineStr">
        <is>
          <t>USP &lt;616&gt;</t>
        </is>
      </c>
      <c r="D32" s="29" t="inlineStr">
        <is>
          <t>Copley/ERWEKA tapped density tester</t>
        </is>
      </c>
      <c r="E32" s="29" t="inlineStr">
        <is>
          <t>DENS-01 or DENS-02</t>
        </is>
      </c>
      <c r="F32" s="29" t="inlineStr">
        <is>
          <t>COA tapped value is lower than untapped, which is unusual; clarify with customer/SGS before reproducing specification.</t>
        </is>
      </c>
      <c r="G32" s="30" t="n"/>
      <c r="H32" s="30" t="inlineStr">
        <is>
          <t>No applicable Gafta No.130 method listed - customer-agreed method</t>
        </is>
      </c>
    </row>
    <row r="33">
      <c r="A33" s="31" t="inlineStr">
        <is>
          <t>Aflatoxin B1/B2/G1/G2 and sum</t>
        </is>
      </c>
      <c r="B33" s="31" t="inlineStr">
        <is>
          <t>ND, LOQ 1 PPB</t>
        </is>
      </c>
      <c r="C33" s="31" t="inlineStr">
        <is>
          <t>ANA012CHEM</t>
        </is>
      </c>
      <c r="D33" s="31" t="inlineStr">
        <is>
          <t>Existing Shimadzu LCMS-8040RX using ISO 17375 preparation/cleanup and the Gafta-permitted MS detector for aflatoxins</t>
        </is>
      </c>
      <c r="E33" s="31" t="inlineStr">
        <is>
          <t>MYCO-01</t>
        </is>
      </c>
      <c r="F33" s="31" t="inlineStr">
        <is>
          <t>For Gafta aflatoxin reporting, the MS allowance does not replace the rest of ISO 17375.</t>
        </is>
      </c>
      <c r="G33" s="30" t="n"/>
      <c r="H33" s="30" t="inlineStr">
        <is>
          <t>Gafta method listed - exact named method required</t>
        </is>
      </c>
    </row>
    <row r="34">
      <c r="A34" s="31" t="inlineStr">
        <is>
          <t>DON (Vomitoxin)</t>
        </is>
      </c>
      <c r="B34" s="31" t="inlineStr">
        <is>
          <t>ND, LOQ 0.1 PPM</t>
        </is>
      </c>
      <c r="C34" s="31" t="inlineStr">
        <is>
          <t>ANA012CHEM</t>
        </is>
      </c>
      <c r="D34" s="31" t="inlineStr">
        <is>
          <t>Existing Shimadzu LCMS-8040RX</t>
        </is>
      </c>
      <c r="E34" s="31" t="inlineStr">
        <is>
          <t>MYCO-01</t>
        </is>
      </c>
      <c r="F34" s="31" t="inlineStr">
        <is>
          <t>No Gafta No.130 DON method is listed; use the validated customer-agreed LC-MS/MS method.</t>
        </is>
      </c>
      <c r="G34" s="30" t="n"/>
      <c r="H34" s="30" t="inlineStr">
        <is>
          <t>No applicable Gafta No.130 method listed - customer-agreed method</t>
        </is>
      </c>
    </row>
    <row r="35">
      <c r="A35" s="31" t="inlineStr">
        <is>
          <t>Fumonisin B1/B2/B3</t>
        </is>
      </c>
      <c r="B35" s="31" t="inlineStr">
        <is>
          <t>ND, LOQ 0.1 PPM</t>
        </is>
      </c>
      <c r="C35" s="31" t="inlineStr">
        <is>
          <t>ANA012CHEM</t>
        </is>
      </c>
      <c r="D35" s="31" t="inlineStr">
        <is>
          <t>Existing Shimadzu LCMS-8040RX</t>
        </is>
      </c>
      <c r="E35" s="31" t="inlineStr">
        <is>
          <t>MYCO-01</t>
        </is>
      </c>
      <c r="F35" s="31" t="inlineStr">
        <is>
          <t>No Gafta No.130 fumonisin method is listed; use the validated customer-agreed LC-MS/MS method.</t>
        </is>
      </c>
      <c r="G35" s="30" t="n"/>
      <c r="H35" s="30" t="inlineStr">
        <is>
          <t>No applicable Gafta No.130 method listed - customer-agreed method</t>
        </is>
      </c>
    </row>
    <row r="36">
      <c r="A36" s="31" t="inlineStr">
        <is>
          <t>Ochratoxin</t>
        </is>
      </c>
      <c r="B36" s="31" t="inlineStr">
        <is>
          <t>2 PPB, LOQ 1 PPB</t>
        </is>
      </c>
      <c r="C36" s="31" t="inlineStr">
        <is>
          <t>ANA012CHEM</t>
        </is>
      </c>
      <c r="D36" s="31" t="inlineStr">
        <is>
          <t>Existing Shimadzu LCMS-8040RX</t>
        </is>
      </c>
      <c r="E36" s="31" t="inlineStr">
        <is>
          <t>MYCO-01</t>
        </is>
      </c>
      <c r="F36" s="31" t="inlineStr">
        <is>
          <t>No Gafta No.130 ochratoxin method is listed for this panel; use the validated customer-agreed LC-MS/MS method.</t>
        </is>
      </c>
      <c r="G36" s="30" t="n"/>
      <c r="H36" s="30" t="inlineStr">
        <is>
          <t>No applicable Gafta No.130 method listed - customer-agreed method</t>
        </is>
      </c>
    </row>
    <row r="37">
      <c r="A37" s="31" t="inlineStr">
        <is>
          <t>T-2 toxin</t>
        </is>
      </c>
      <c r="B37" s="31" t="inlineStr">
        <is>
          <t>ND, LOQ 20 PPB</t>
        </is>
      </c>
      <c r="C37" s="31" t="inlineStr">
        <is>
          <t>ANA012CHEM</t>
        </is>
      </c>
      <c r="D37" s="31" t="inlineStr">
        <is>
          <t>Existing Shimadzu LCMS-8040RX</t>
        </is>
      </c>
      <c r="E37" s="31" t="inlineStr">
        <is>
          <t>MYCO-01</t>
        </is>
      </c>
      <c r="F37" s="31" t="inlineStr">
        <is>
          <t>No Gafta No.130 T-2 method is listed; use the validated customer-agreed LC-MS/MS method.</t>
        </is>
      </c>
      <c r="G37" s="30" t="n"/>
      <c r="H37" s="30" t="inlineStr">
        <is>
          <t>No applicable Gafta No.130 method listed - customer-agreed method</t>
        </is>
      </c>
    </row>
    <row r="38">
      <c r="A38" s="31" t="inlineStr">
        <is>
          <t>HT-2 toxin</t>
        </is>
      </c>
      <c r="B38" s="31" t="inlineStr">
        <is>
          <t>ND, LOQ 20 PPB</t>
        </is>
      </c>
      <c r="C38" s="31" t="inlineStr">
        <is>
          <t>ANA012CHEM</t>
        </is>
      </c>
      <c r="D38" s="31" t="inlineStr">
        <is>
          <t>Existing Shimadzu LCMS-8040RX</t>
        </is>
      </c>
      <c r="E38" s="31" t="inlineStr">
        <is>
          <t>MYCO-01</t>
        </is>
      </c>
      <c r="F38" s="31" t="inlineStr">
        <is>
          <t>No Gafta No.130 HT-2 method is listed; use the validated customer-agreed LC-MS/MS method.</t>
        </is>
      </c>
      <c r="G38" s="30" t="n"/>
      <c r="H38" s="30" t="inlineStr">
        <is>
          <t>No applicable Gafta No.130 method listed - customer-agreed method</t>
        </is>
      </c>
    </row>
    <row r="39">
      <c r="A39" s="31" t="inlineStr">
        <is>
          <t>Zearalenone</t>
        </is>
      </c>
      <c r="B39" s="31" t="inlineStr">
        <is>
          <t>22 PPB, LOQ 20 PPB</t>
        </is>
      </c>
      <c r="C39" s="31" t="inlineStr">
        <is>
          <t>ANA012CHEM</t>
        </is>
      </c>
      <c r="D39" s="31" t="inlineStr">
        <is>
          <t>Existing Shimadzu LCMS-8040RX</t>
        </is>
      </c>
      <c r="E39" s="31" t="inlineStr">
        <is>
          <t>MYCO-01</t>
        </is>
      </c>
      <c r="F39" s="31" t="inlineStr">
        <is>
          <t>No Gafta No.130 zearalenone method is listed; use the validated customer-agreed LC-MS/MS method.</t>
        </is>
      </c>
      <c r="G39" s="30" t="n"/>
      <c r="H39" s="30" t="inlineStr">
        <is>
          <t>No applicable Gafta No.130 method listed - customer-agreed method</t>
        </is>
      </c>
    </row>
    <row r="40">
      <c r="A40" s="29" t="inlineStr">
        <is>
          <t>Hunter L Color</t>
        </is>
      </c>
      <c r="B40" s="29" t="inlineStr">
        <is>
          <t>49.30</t>
        </is>
      </c>
      <c r="C40" s="29" t="inlineStr">
        <is>
          <t>Hunter Labs Colorflex EZ</t>
        </is>
      </c>
      <c r="D40" s="29" t="inlineStr">
        <is>
          <t>HunterLab ColorFlex EZ or validated ColorFlex L2</t>
        </is>
      </c>
      <c r="E40" s="29" t="inlineStr">
        <is>
          <t>COLOR-01 or COLOR-02</t>
        </is>
      </c>
      <c r="F40" s="29" t="inlineStr">
        <is>
          <t>No Gafta No.130 Hunter L color method is listed; use the customer-agreed HunterLab method.</t>
        </is>
      </c>
      <c r="G40" s="30" t="n"/>
      <c r="H40" s="30" t="inlineStr">
        <is>
          <t>No applicable Gafta No.130 method listed - customer-agreed method</t>
        </is>
      </c>
    </row>
    <row r="41">
      <c r="A41" s="29" t="inlineStr">
        <is>
          <t>Dry matter</t>
        </is>
      </c>
      <c r="B41" s="29" t="inlineStr">
        <is>
          <t>88.79 % as received</t>
        </is>
      </c>
      <c r="C41" s="29" t="inlineStr">
        <is>
          <t>NFTA 2.2.2.5</t>
        </is>
      </c>
      <c r="D41" s="29" t="inlineStr">
        <is>
          <t>Conventional ISO-compatible drying oven</t>
        </is>
      </c>
      <c r="E41" s="29" t="inlineStr">
        <is>
          <t>MOIST-02 or MOIST-03</t>
        </is>
      </c>
      <c r="F41" s="29" t="inlineStr">
        <is>
          <t>Gafta reporting must use ISO 6496. The TGA801 has been removed from the active purchasing list pending exact-method evidence.</t>
        </is>
      </c>
      <c r="G41" s="30" t="n"/>
      <c r="H41" s="30" t="inlineStr">
        <is>
          <t>Gafta method listed - exact named method required</t>
        </is>
      </c>
    </row>
    <row r="42">
      <c r="A42" s="29" t="inlineStr">
        <is>
          <t>Moisture</t>
        </is>
      </c>
      <c r="B42" s="29" t="inlineStr">
        <is>
          <t>11.21 % as received</t>
        </is>
      </c>
      <c r="C42" s="29" t="inlineStr">
        <is>
          <t>NFTA 2.2.2.5</t>
        </is>
      </c>
      <c r="D42" s="29" t="inlineStr">
        <is>
          <t>Conventional ISO-compatible drying oven</t>
        </is>
      </c>
      <c r="E42" s="29" t="inlineStr">
        <is>
          <t>MOIST-02 or MOIST-03</t>
        </is>
      </c>
      <c r="F42" s="29" t="inlineStr">
        <is>
          <t>Run ISO 6496 for Gafta results. NFTA 2.2.2.5 may remain a separately named customer method if required.</t>
        </is>
      </c>
      <c r="G42" s="30" t="n"/>
      <c r="H42" s="30" t="inlineStr">
        <is>
          <t>Gafta method listed - exact named method required</t>
        </is>
      </c>
    </row>
    <row r="43">
      <c r="A43" s="29" t="inlineStr">
        <is>
          <t>Crude ash content</t>
        </is>
      </c>
      <c r="B43" s="29" t="inlineStr">
        <is>
          <t>7.053 % AR; 7.943 % DM</t>
        </is>
      </c>
      <c r="C43" s="29" t="inlineStr">
        <is>
          <t>AOAC 942.05 (mod)</t>
        </is>
      </c>
      <c r="D43" s="29" t="inlineStr">
        <is>
          <t>Programmable muffle furnace under ISO 5984</t>
        </is>
      </c>
      <c r="E43" s="29" t="inlineStr">
        <is>
          <t>MOIST-02 or MOIST-03</t>
        </is>
      </c>
      <c r="F43" s="29" t="inlineStr">
        <is>
          <t>Run ISO 5984 for Gafta ash. AOAC 942.05 modified remains a separately named customer method.</t>
        </is>
      </c>
      <c r="G43" s="30" t="n"/>
      <c r="H43" s="30" t="inlineStr">
        <is>
          <t>Gafta method listed - exact named method required</t>
        </is>
      </c>
    </row>
    <row r="44">
      <c r="A44" s="29" t="inlineStr">
        <is>
          <t>NDF</t>
        </is>
      </c>
      <c r="B44" s="29" t="inlineStr">
        <is>
          <t>34.49 % AR; 38.84 % DM</t>
        </is>
      </c>
      <c r="C44" s="29" t="inlineStr">
        <is>
          <t>ANKOM Technology Method 6</t>
        </is>
      </c>
      <c r="D44" s="29" t="inlineStr">
        <is>
          <t>FOSS Fibertec or VELP FIWE reference-crucible system using a separately agreed NDF method</t>
        </is>
      </c>
      <c r="E44" s="29" t="inlineStr">
        <is>
          <t>FIBER-01 or FIBER-02 or FIBER-03 or FIBER-06</t>
        </is>
      </c>
      <c r="F44" s="29" t="inlineStr">
        <is>
          <t>No Gafta NDF method is listed. Exact ANKOM Method 6 replication has been intentionally removed from the purchasing shortlist because Gafta compliance is the first priority.</t>
        </is>
      </c>
      <c r="G44" s="30" t="n"/>
      <c r="H44" s="30" t="inlineStr">
        <is>
          <t>No applicable Gafta No.130 method listed - customer-agreed method</t>
        </is>
      </c>
    </row>
    <row r="45">
      <c r="A45" s="29" t="inlineStr">
        <is>
          <t>Crude Fat</t>
        </is>
      </c>
      <c r="B45" s="29" t="inlineStr">
        <is>
          <t>3.51 % AR; 3.95 % DM</t>
        </is>
      </c>
      <c r="C45" s="29" t="inlineStr">
        <is>
          <t>AOAC 2003.06 (Petroleum Ether)</t>
        </is>
      </c>
      <c r="D45" s="29" t="inlineStr">
        <is>
          <t>FOSS Soxtec 8000 or ST 255 under ISO 6492 Procedure A; conventional Soxhlet as the lowest-capex reference option</t>
        </is>
      </c>
      <c r="E45" s="29" t="inlineStr">
        <is>
          <t>FAT-01 or FAT-02 or FAT-06</t>
        </is>
      </c>
      <c r="F45" s="29" t="inlineStr">
        <is>
          <t>For Gafta reporting use ISO 6492 Procedure A only. Customer AOAC methods must be separate method codes.</t>
        </is>
      </c>
      <c r="G45" s="30" t="n"/>
      <c r="H45" s="30" t="inlineStr">
        <is>
          <t>Gafta method listed - exact named method required</t>
        </is>
      </c>
    </row>
    <row r="46">
      <c r="A46" s="29" t="inlineStr">
        <is>
          <t>Crude Protein</t>
        </is>
      </c>
      <c r="B46" s="29" t="inlineStr">
        <is>
          <t>26.14 % AR; 29.44 % DM</t>
        </is>
      </c>
      <c r="C46" s="29" t="inlineStr">
        <is>
          <t>ANA030CHEM; references AOAC 990.03/AOAC 992.15/AACC 46-30.01</t>
        </is>
      </c>
      <c r="D46" s="29" t="inlineStr">
        <is>
          <t>LECO 828P</t>
        </is>
      </c>
      <c r="E46" s="29" t="inlineStr">
        <is>
          <t>PROT-01</t>
        </is>
      </c>
      <c r="F46" s="29" t="inlineStr">
        <is>
          <t>Confirm nitrogen-to-protein factor and validation against customer method.</t>
        </is>
      </c>
      <c r="G46" s="30" t="n"/>
      <c r="H46" s="30" t="inlineStr">
        <is>
          <t>Gafta method listed - exact named method required</t>
        </is>
      </c>
    </row>
    <row r="47">
      <c r="A47" s="32" t="inlineStr">
        <is>
          <t>Acid detergent fiber</t>
        </is>
      </c>
      <c r="B47" s="32" t="inlineStr">
        <is>
          <t>11.23 % AR; 12.65 % DM</t>
        </is>
      </c>
      <c r="C47" s="32" t="inlineStr">
        <is>
          <t>Calculation</t>
        </is>
      </c>
      <c r="D47" s="32" t="inlineStr">
        <is>
          <t>LIMS calculation if customer requires the same shortcut; optional directly measured ADF on Fibertec/FIWE as a separately agreed method</t>
        </is>
      </c>
      <c r="E47" s="32" t="inlineStr">
        <is>
          <t>CALC-01; FIBER-01/FIBER-02/FIBER-03/FIBER-06 optional</t>
        </is>
      </c>
      <c r="F47" s="32" t="inlineStr">
        <is>
          <t>No Gafta ADF method is listed. The COA appears to use ADF = crude fiber x 1.25; this is not a universal reference method.</t>
        </is>
      </c>
      <c r="G47" s="30" t="inlineStr">
        <is>
          <t>Apparent from the provided COA: ADF ≈ Crude Fiber × 1.25</t>
        </is>
      </c>
      <c r="H47" s="30" t="inlineStr">
        <is>
          <t>No applicable Gafta No.130 method listed - customer-agreed method</t>
        </is>
      </c>
    </row>
    <row r="48">
      <c r="A48" s="32" t="inlineStr">
        <is>
          <t>Digestible Energy</t>
        </is>
      </c>
      <c r="B48" s="32" t="inlineStr">
        <is>
          <t>1.59 AR; 1.79 DM Mcal/lb</t>
        </is>
      </c>
      <c r="C48" s="32" t="inlineStr">
        <is>
          <t>Calculation</t>
        </is>
      </c>
      <c r="D48" s="32" t="inlineStr">
        <is>
          <t>LIMS calculation</t>
        </is>
      </c>
      <c r="E48" s="32" t="inlineStr">
        <is>
          <t>CALC-01</t>
        </is>
      </c>
      <c r="F48" s="32" t="inlineStr">
        <is>
          <t>Exact equation not disclosed; obtain from SGS/customer/NRC basis.</t>
        </is>
      </c>
      <c r="G48" s="30" t="inlineStr">
        <is>
          <t>Common DE estimate from TDN: DE (Mcal/lb) = TDN(%) × 0.02</t>
        </is>
      </c>
      <c r="H48" s="30" t="inlineStr">
        <is>
          <t>No applicable Gafta No.130 method listed - customer-agreed method</t>
        </is>
      </c>
    </row>
    <row r="49">
      <c r="A49" s="32" t="inlineStr">
        <is>
          <t>Metabolizable Energy</t>
        </is>
      </c>
      <c r="B49" s="32" t="inlineStr">
        <is>
          <t>1.20 Mcal/lb</t>
        </is>
      </c>
      <c r="C49" s="32" t="inlineStr">
        <is>
          <t>Calculation</t>
        </is>
      </c>
      <c r="D49" s="32" t="inlineStr">
        <is>
          <t>LIMS calculation</t>
        </is>
      </c>
      <c r="E49" s="32" t="inlineStr">
        <is>
          <t>CALC-01</t>
        </is>
      </c>
      <c r="F49" s="32" t="inlineStr">
        <is>
          <t>Exact equation not disclosed; define basis and rounding.</t>
        </is>
      </c>
      <c r="G49" s="30" t="inlineStr">
        <is>
          <t>Common ME estimate: ME (Mcal/lb) = DE × 0.82</t>
        </is>
      </c>
      <c r="H49" s="30" t="inlineStr">
        <is>
          <t>No applicable Gafta No.130 method listed - customer-agreed method</t>
        </is>
      </c>
    </row>
    <row r="50">
      <c r="A50" s="32" t="inlineStr">
        <is>
          <t>Net Energy Gain</t>
        </is>
      </c>
      <c r="B50" s="32" t="inlineStr">
        <is>
          <t>0.57 AR; 0.65 DM Mcal/lb</t>
        </is>
      </c>
      <c r="C50" s="32" t="inlineStr">
        <is>
          <t>Calculation</t>
        </is>
      </c>
      <c r="D50" s="32" t="inlineStr">
        <is>
          <t>LIMS calculation</t>
        </is>
      </c>
      <c r="E50" s="32" t="inlineStr">
        <is>
          <t>CALC-01</t>
        </is>
      </c>
      <c r="F50" s="32" t="inlineStr">
        <is>
          <t>Exact equation not disclosed; obtain equation set.</t>
        </is>
      </c>
      <c r="G50" s="30" t="inlineStr">
        <is>
          <t>NEg (Mcal/lb) = (TDN% × 0.01318) − 0.459</t>
        </is>
      </c>
      <c r="H50" s="30" t="inlineStr">
        <is>
          <t>No applicable Gafta No.130 method listed - customer-agreed method</t>
        </is>
      </c>
    </row>
    <row r="51">
      <c r="A51" s="32" t="inlineStr">
        <is>
          <t>Net Energy Lactation</t>
        </is>
      </c>
      <c r="B51" s="32" t="inlineStr">
        <is>
          <t>0.78 AR; 0.88 DM Mcal/lb</t>
        </is>
      </c>
      <c r="C51" s="32" t="inlineStr">
        <is>
          <t>Calculation</t>
        </is>
      </c>
      <c r="D51" s="32" t="inlineStr">
        <is>
          <t>LIMS calculation</t>
        </is>
      </c>
      <c r="E51" s="32" t="inlineStr">
        <is>
          <t>CALC-01</t>
        </is>
      </c>
      <c r="F51" s="32" t="inlineStr">
        <is>
          <t>Exact equation not disclosed; obtain equation set.</t>
        </is>
      </c>
      <c r="G51" s="30" t="inlineStr">
        <is>
          <t>NEl (Mcal/lb) = (TDN% × 0.01114) − 0.054</t>
        </is>
      </c>
      <c r="H51" s="30" t="inlineStr">
        <is>
          <t>No applicable Gafta No.130 method listed - customer-agreed method</t>
        </is>
      </c>
    </row>
    <row r="52">
      <c r="A52" s="32" t="inlineStr">
        <is>
          <t>Net Energy Maintenance</t>
        </is>
      </c>
      <c r="B52" s="32" t="inlineStr">
        <is>
          <t>0.86 AR; 0.97 DM Mcal/lb</t>
        </is>
      </c>
      <c r="C52" s="32" t="inlineStr">
        <is>
          <t>Calculation</t>
        </is>
      </c>
      <c r="D52" s="32" t="inlineStr">
        <is>
          <t>LIMS calculation</t>
        </is>
      </c>
      <c r="E52" s="32" t="inlineStr">
        <is>
          <t>CALC-01</t>
        </is>
      </c>
      <c r="F52" s="32" t="inlineStr">
        <is>
          <t>Exact equation not disclosed; obtain equation set.</t>
        </is>
      </c>
      <c r="G52" s="30" t="inlineStr">
        <is>
          <t>NEm (Mcal/lb) = (TDN% × 0.01318) − 0.132</t>
        </is>
      </c>
      <c r="H52" s="30" t="inlineStr">
        <is>
          <t>No applicable Gafta No.130 method listed - customer-agreed method</t>
        </is>
      </c>
    </row>
    <row r="53">
      <c r="A53" s="32" t="inlineStr">
        <is>
          <t>Total digestible nutrients</t>
        </is>
      </c>
      <c r="B53" s="32" t="inlineStr">
        <is>
          <t>74.51 % AR; 83.92 % DM</t>
        </is>
      </c>
      <c r="C53" s="32" t="inlineStr">
        <is>
          <t>Calculation</t>
        </is>
      </c>
      <c r="D53" s="32" t="inlineStr">
        <is>
          <t>LIMS calculation</t>
        </is>
      </c>
      <c r="E53" s="32" t="inlineStr">
        <is>
          <t>CALC-01</t>
        </is>
      </c>
      <c r="F53" s="32" t="inlineStr">
        <is>
          <t>Exact equation not disclosed; obtain equation set.</t>
        </is>
      </c>
      <c r="G53" s="30" t="inlineStr">
        <is>
          <t>True TDN = dCP + dCF + dNFE + (2.25 × dEE); many labs use a validated prediction equation or feed library instead.</t>
        </is>
      </c>
      <c r="H53" s="30" t="inlineStr">
        <is>
          <t>No applicable Gafta No.130 method listed - customer-agreed method</t>
        </is>
      </c>
    </row>
    <row r="54">
      <c r="A54" s="29" t="inlineStr">
        <is>
          <t>Crude fiber</t>
        </is>
      </c>
      <c r="B54" s="29" t="inlineStr">
        <is>
          <t>8.98 % AR; 10.12 % DM</t>
        </is>
      </c>
      <c r="C54" s="29" t="inlineStr">
        <is>
          <t>AOCS Ba6a-05/Ankom</t>
        </is>
      </c>
      <c r="D54" s="29" t="inlineStr">
        <is>
          <t>FOSS Fibertec or VELP FIWE using Gafta ISO 6865</t>
        </is>
      </c>
      <c r="E54" s="29" t="inlineStr">
        <is>
          <t>FIBER-01 or FIBER-02 or FIBER-03 or FIBER-06</t>
        </is>
      </c>
      <c r="F54" s="29" t="inlineStr">
        <is>
          <t>Gafta requires ISO 6865. The customer COA uses AOCS Ba 6a-05/ANKOM, so exact replication of that method is not included in the Gafta-first instrument shortlist.</t>
        </is>
      </c>
      <c r="G54" s="30" t="n"/>
      <c r="H54" s="30" t="inlineStr">
        <is>
          <t>Gafta method listed - exact named method required</t>
        </is>
      </c>
    </row>
    <row r="55">
      <c r="A55" s="29" t="inlineStr">
        <is>
          <t>Total Starch Content</t>
        </is>
      </c>
      <c r="B55" s="29" t="inlineStr">
        <is>
          <t>1.769 g/100g AR; 1.992 g/100g DM</t>
        </is>
      </c>
      <c r="C55" s="29" t="inlineStr">
        <is>
          <t>AOAC 996.11</t>
        </is>
      </c>
      <c r="D55" s="29" t="inlineStr">
        <is>
          <t>Automatic polarimeter using Gafta ISO 6493</t>
        </is>
      </c>
      <c r="E55" s="29" t="inlineStr">
        <is>
          <t>STARCH-G1 or STARCH-G2 or STARCH-G3</t>
        </is>
      </c>
      <c r="F55" s="29" t="inlineStr">
        <is>
          <t>Gafta starch is ISO 6493 polarimetric. AOAC 996.11 enzymatic starch has been removed from the active purchasing list. Confirm ISO 6493 applicability to DDGS because the standard warns of some optically active matrix interferences.</t>
        </is>
      </c>
      <c r="G55" s="30" t="n"/>
      <c r="H55" s="30" t="inlineStr">
        <is>
          <t>Gafta method listed - exact named method required</t>
        </is>
      </c>
    </row>
  </sheetData>
  <autoFilter ref="A1:H55"/>
  <pageMargins left="0.75" right="0.75" top="1" bottom="1"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6" customWidth="1" min="3" max="3"/>
    <col width="34" customWidth="1" min="4" max="4"/>
    <col width="28" customWidth="1" min="5" max="5"/>
    <col width="46" customWidth="1" min="6" max="6"/>
    <col width="45" customWidth="1" min="7" max="7"/>
  </cols>
  <sheetData>
    <row r="1">
      <c r="A1" s="48" t="inlineStr">
        <is>
          <t>Gafta No.</t>
        </is>
      </c>
      <c r="B1" s="48" t="inlineStr">
        <is>
          <t>Analyte / activity</t>
        </is>
      </c>
      <c r="C1" s="48" t="inlineStr">
        <is>
          <t>Required method in current register</t>
        </is>
      </c>
      <c r="D1" s="48" t="inlineStr">
        <is>
          <t>Specific Gafta note</t>
        </is>
      </c>
      <c r="E1" s="48" t="inlineStr">
        <is>
          <t>Active option IDs</t>
        </is>
      </c>
      <c r="F1" s="48" t="inlineStr">
        <is>
          <t>Procurement gate</t>
        </is>
      </c>
      <c r="G1" s="48" t="inlineStr">
        <is>
          <t>Official source</t>
        </is>
      </c>
    </row>
    <row r="2" ht="68" customHeight="1">
      <c r="A2" s="49" t="inlineStr">
        <is>
          <t>1.0</t>
        </is>
      </c>
      <c r="B2" s="49" t="inlineStr">
        <is>
          <t>Sample preparation</t>
        </is>
      </c>
      <c r="C2" s="49" t="inlineStr">
        <is>
          <t>Gafta Method 1.0 - Preparation of the Sample for Analysis</t>
        </is>
      </c>
      <c r="D2" s="49" t="inlineStr">
        <is>
          <t>Exact preparation procedure applies.</t>
        </is>
      </c>
      <c r="E2" s="49" t="inlineStr">
        <is>
          <t>PREP-01, PREP-03/04, PREP-05, PREP-06/07, PREP-08</t>
        </is>
      </c>
      <c r="F2" s="49" t="inlineStr">
        <is>
          <t>Select equipment that satisfies required batch size, complete particle-size passage, heat/moisture control and representative division.</t>
        </is>
      </c>
      <c r="G2" s="34" t="inlineStr">
        <is>
          <t>https://www.gafta.com/register-of-analysis-methods/</t>
        </is>
      </c>
    </row>
    <row r="3" ht="68" customHeight="1">
      <c r="A3" s="49" t="inlineStr">
        <is>
          <t>2.1</t>
        </is>
      </c>
      <c r="B3" s="49" t="inlineStr">
        <is>
          <t>Moisture in feedingstuffs</t>
        </is>
      </c>
      <c r="C3" s="49" t="inlineStr">
        <is>
          <t>ISO 6496</t>
        </is>
      </c>
      <c r="D3" s="49" t="inlineStr">
        <is>
          <t>Latest published version unless otherwise agreed.</t>
        </is>
      </c>
      <c r="E3" s="49" t="inlineStr">
        <is>
          <t>MOIST-02 or MOIST-03</t>
        </is>
      </c>
      <c r="F3" s="49" t="inlineStr">
        <is>
          <t>Conventional oven system retained. TGA801 removed from active list pending exact-method proof.</t>
        </is>
      </c>
      <c r="G3" s="34" t="inlineStr">
        <is>
          <t>https://www.gafta.com/register-of-analysis-methods/</t>
        </is>
      </c>
    </row>
    <row r="4" ht="68" customHeight="1">
      <c r="A4" s="49" t="inlineStr">
        <is>
          <t>3.2</t>
        </is>
      </c>
      <c r="B4" s="49" t="inlineStr">
        <is>
          <t>Oil in animal feeding stuffs</t>
        </is>
      </c>
      <c r="C4" s="49" t="inlineStr">
        <is>
          <t>ISO 6492 - Procedure A</t>
        </is>
      </c>
      <c r="D4" s="49" t="inlineStr">
        <is>
          <t>Procedure B does not apply.</t>
        </is>
      </c>
      <c r="E4" s="49" t="inlineStr">
        <is>
          <t>FAT-01, FAT-02 or FAT-06</t>
        </is>
      </c>
      <c r="F4" s="49" t="inlineStr">
        <is>
          <t>Purchase only with exact Procedure A SOP/application.</t>
        </is>
      </c>
      <c r="G4" s="34" t="inlineStr">
        <is>
          <t>https://www.gafta.com/register-of-analysis-methods/</t>
        </is>
      </c>
    </row>
    <row r="5" ht="68" customHeight="1">
      <c r="A5" s="49" t="inlineStr">
        <is>
          <t>4.1 / 4.4</t>
        </is>
      </c>
      <c r="B5" s="49" t="inlineStr">
        <is>
          <t>Crude protein in feedingstuffs</t>
        </is>
      </c>
      <c r="C5" s="49" t="inlineStr">
        <is>
          <t>ISO 5983-2 reference (ISO 5983-1 also accepted) or ISO 16634-1 Dumas</t>
        </is>
      </c>
      <c r="D5" s="49" t="inlineStr">
        <is>
          <t>Kjeldahl is the reference method.</t>
        </is>
      </c>
      <c r="E5" s="49" t="inlineStr">
        <is>
          <t>PROT-02 or PROT-01</t>
        </is>
      </c>
      <c r="F5" s="49" t="inlineStr">
        <is>
          <t>Dumas equipment must be operated under ISO 16634-1; Kjeldahl under the listed ISO method.</t>
        </is>
      </c>
      <c r="G5" s="34" t="inlineStr">
        <is>
          <t>https://www.gafta.com/register-of-analysis-methods/</t>
        </is>
      </c>
    </row>
    <row r="6" ht="68" customHeight="1">
      <c r="A6" s="49" t="inlineStr">
        <is>
          <t>8.0</t>
        </is>
      </c>
      <c r="B6" s="49" t="inlineStr">
        <is>
          <t>Phosphorus</t>
        </is>
      </c>
      <c r="C6" s="49" t="inlineStr">
        <is>
          <t>ISO 6491</t>
        </is>
      </c>
      <c r="D6" s="49" t="inlineStr">
        <is>
          <t>Colorimetric/spectrometric method; no ICP substitution stated in the register.</t>
        </is>
      </c>
      <c r="E6" s="49" t="inlineStr">
        <is>
          <t>MIN-02 or MIN-03</t>
        </is>
      </c>
      <c r="F6" s="49" t="inlineStr">
        <is>
          <t>Use full ISO chemistry and qualified UV-Vis.</t>
        </is>
      </c>
      <c r="G6" s="34" t="inlineStr">
        <is>
          <t>https://www.gafta.com/register-of-analysis-methods/</t>
        </is>
      </c>
    </row>
    <row r="7" ht="68" customHeight="1">
      <c r="A7" s="49" t="inlineStr">
        <is>
          <t>9.0</t>
        </is>
      </c>
      <c r="B7" s="49" t="inlineStr">
        <is>
          <t>Crude fibre in feedingstuffs</t>
        </is>
      </c>
      <c r="C7" s="49" t="inlineStr">
        <is>
          <t>ISO 6865</t>
        </is>
      </c>
      <c r="D7" s="49" t="inlineStr">
        <is>
          <t>Named Gafta method.</t>
        </is>
      </c>
      <c r="E7" s="49" t="inlineStr">
        <is>
          <t>FIBER-01, FIBER-02, FIBER-03 or FIBER-06</t>
        </is>
      </c>
      <c r="F7" s="49" t="inlineStr">
        <is>
          <t>ANKOM/AOCS filter-bag methods removed from active list.</t>
        </is>
      </c>
      <c r="G7" s="34" t="inlineStr">
        <is>
          <t>https://www.gafta.com/register-of-analysis-methods/</t>
        </is>
      </c>
    </row>
    <row r="8" ht="68" customHeight="1">
      <c r="A8" s="49" t="inlineStr">
        <is>
          <t>11.1</t>
        </is>
      </c>
      <c r="B8" s="49" t="inlineStr">
        <is>
          <t>Crude ash in feedingstuffs</t>
        </is>
      </c>
      <c r="C8" s="49" t="inlineStr">
        <is>
          <t>ISO 5984</t>
        </is>
      </c>
      <c r="D8" s="49" t="inlineStr">
        <is>
          <t>Named Gafta method.</t>
        </is>
      </c>
      <c r="E8" s="49" t="inlineStr">
        <is>
          <t>MOIST-02 or MOIST-03</t>
        </is>
      </c>
      <c r="F8" s="49" t="inlineStr">
        <is>
          <t>Use exact furnace, crucible, ignition and endpoint requirements.</t>
        </is>
      </c>
      <c r="G8" s="34" t="inlineStr">
        <is>
          <t>https://www.gafta.com/register-of-analysis-methods/</t>
        </is>
      </c>
    </row>
    <row r="9" ht="68" customHeight="1">
      <c r="A9" s="49" t="inlineStr">
        <is>
          <t>14.0</t>
        </is>
      </c>
      <c r="B9" s="49" t="inlineStr">
        <is>
          <t>Calcium, magnesium and sodium</t>
        </is>
      </c>
      <c r="C9" s="49" t="inlineStr">
        <is>
          <t>ISO 6869</t>
        </is>
      </c>
      <c r="D9" s="49" t="inlineStr">
        <is>
          <t>ICP is expressly acceptable as the detection technique.</t>
        </is>
      </c>
      <c r="E9" s="49" t="inlineStr">
        <is>
          <t>MIN-01</t>
        </is>
      </c>
      <c r="F9" s="49" t="inlineStr">
        <is>
          <t>Limit Gafta claim to the analytes named in the register heading.</t>
        </is>
      </c>
      <c r="G9" s="34" t="inlineStr">
        <is>
          <t>https://www.gafta.com/register-of-analysis-methods/</t>
        </is>
      </c>
    </row>
    <row r="10" ht="68" customHeight="1">
      <c r="A10" s="49" t="inlineStr">
        <is>
          <t>18.1</t>
        </is>
      </c>
      <c r="B10" s="49" t="inlineStr">
        <is>
          <t>Aflatoxins in feedingstuffs</t>
        </is>
      </c>
      <c r="C10" s="49" t="inlineStr">
        <is>
          <t>ISO 17375</t>
        </is>
      </c>
      <c r="D10" s="49" t="inlineStr">
        <is>
          <t>Mass spectrometry is expressly acceptable as the detection technique.</t>
        </is>
      </c>
      <c r="E10" s="49" t="inlineStr">
        <is>
          <t>MYCO-01</t>
        </is>
      </c>
      <c r="F10" s="49" t="inlineStr">
        <is>
          <t>ISO 17375 preparation/cleanup still applies.</t>
        </is>
      </c>
      <c r="G10" s="34" t="inlineStr">
        <is>
          <t>https://www.gafta.com/register-of-analysis-methods/181-aflatoxins-in-feedingstuffs/</t>
        </is>
      </c>
    </row>
    <row r="11" ht="68" customHeight="1">
      <c r="A11" s="49" t="inlineStr">
        <is>
          <t>20.0</t>
        </is>
      </c>
      <c r="B11" s="49" t="inlineStr">
        <is>
          <t>Sodium</t>
        </is>
      </c>
      <c r="C11" s="49" t="inlineStr">
        <is>
          <t>ISO 7485</t>
        </is>
      </c>
      <c r="D11" s="49" t="inlineStr">
        <is>
          <t>ICP is expressly acceptable as the detection technique.</t>
        </is>
      </c>
      <c r="E11" s="49" t="inlineStr">
        <is>
          <t>MIN-01</t>
        </is>
      </c>
      <c r="F11" s="49" t="inlineStr">
        <is>
          <t>Use the exact method and report basis.</t>
        </is>
      </c>
      <c r="G11" s="34" t="inlineStr">
        <is>
          <t>https://www.gafta.com/register-of-analysis-methods/</t>
        </is>
      </c>
    </row>
    <row r="12" ht="68" customHeight="1">
      <c r="A12" s="49" t="inlineStr">
        <is>
          <t>22.0</t>
        </is>
      </c>
      <c r="B12" s="49" t="inlineStr">
        <is>
          <t>Starch</t>
        </is>
      </c>
      <c r="C12" s="49" t="inlineStr">
        <is>
          <t>ISO 6493 polarimetric method</t>
        </is>
      </c>
      <c r="D12" s="49" t="inlineStr">
        <is>
          <t>No enzymatic substitution stated.</t>
        </is>
      </c>
      <c r="E12" s="49" t="inlineStr">
        <is>
          <t>STARCH-G1, STARCH-G2 or STARCH-G3</t>
        </is>
      </c>
      <c r="F12" s="49" t="inlineStr">
        <is>
          <t>Confirm ISO 6493 matrix applicability to DDGS before purchase; do not substitute AOAC 996.11 for Gafta reporting.</t>
        </is>
      </c>
      <c r="G12" s="34" t="inlineStr">
        <is>
          <t>https://www.gafta.com/register-of-analysis-methods/</t>
        </is>
      </c>
    </row>
    <row r="13" ht="68" customHeight="1">
      <c r="A13" s="49" t="inlineStr">
        <is>
          <t>24.0</t>
        </is>
      </c>
      <c r="B13" s="49" t="inlineStr">
        <is>
          <t>Bulk density of cereals</t>
        </is>
      </c>
      <c r="C13" s="49" t="inlineStr">
        <is>
          <t>ISO 7971-3</t>
        </is>
      </c>
      <c r="D13" s="49" t="inlineStr">
        <is>
          <t>The listed method is for cereals, not DDGS tapped/untapped density.</t>
        </is>
      </c>
      <c r="E13" s="49" t="inlineStr">
        <is>
          <t>None mapped</t>
        </is>
      </c>
      <c r="F13" s="49" t="inlineStr">
        <is>
          <t>Use customer-agreed USP &lt;616&gt; for DDGS density unless Gafta provides other written direction.</t>
        </is>
      </c>
      <c r="G13" s="34" t="inlineStr">
        <is>
          <t>https://www.gafta.com/register-of-analysis-methods/</t>
        </is>
      </c>
    </row>
    <row r="14" ht="68" customHeight="1">
      <c r="A14" s="49" t="inlineStr">
        <is>
          <t>No listed method</t>
        </is>
      </c>
      <c r="B14" s="49" t="inlineStr">
        <is>
          <t>NDF, ADF, amino acids, Hunter L color, DDGS tapped/untapped density, DON/fumonisins/OTA/T-2/HT-2/ZEA, energy calculations, several customer minerals</t>
        </is>
      </c>
      <c r="C14" s="49" t="inlineStr">
        <is>
          <t>Customer-agreed internationally accepted or validated method</t>
        </is>
      </c>
      <c r="D14" s="49" t="inlineStr">
        <is>
          <t>Gafta Introduction states parties should agree the method where none is specified.</t>
        </is>
      </c>
      <c r="E14" s="49" t="inlineStr">
        <is>
          <t>Relevant active non-Gafta option IDs</t>
        </is>
      </c>
      <c r="F14" s="49" t="inlineStr">
        <is>
          <t>State the actual method on the report; do not label it as a Gafta No.130 method.</t>
        </is>
      </c>
      <c r="G14" s="34" t="inlineStr">
        <is>
          <t>https://www.gafta.com/media/uruntizb/introduction.pdf</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s>
  <pageMargins left="0.75" right="0.75" top="1" bottom="1" header="0.5" footer="0.5"/>
  <tableParts count="1">
    <tablePart xmlns:r="http://schemas.openxmlformats.org/officeDocument/2006/relationships" r:id="rId14"/>
  </tableParts>
</worksheet>
</file>

<file path=xl/worksheets/sheet4.xml><?xml version="1.0" encoding="utf-8"?>
<worksheet xmlns="http://schemas.openxmlformats.org/spreadsheetml/2006/main">
  <sheetPr>
    <tabColor rgb="005B9BD5"/>
    <outlinePr summaryBelow="1" summaryRight="1"/>
    <pageSetUpPr fitToPage="1"/>
  </sheetPr>
  <dimension ref="A1:X39"/>
  <sheetViews>
    <sheetView showGridLines="0" workbookViewId="0">
      <pane ySplit="1" topLeftCell="A2" activePane="bottomLeft" state="frozen"/>
      <selection pane="bottomLeft" activeCell="A1" sqref="A1"/>
    </sheetView>
  </sheetViews>
  <sheetFormatPr baseColWidth="8" defaultRowHeight="15"/>
  <cols>
    <col width="12" customWidth="1" min="1" max="1"/>
    <col width="19" customWidth="1" min="2" max="2"/>
    <col width="34" customWidth="1" min="3" max="3"/>
    <col width="38" customWidth="1" min="4" max="4"/>
    <col width="27" customWidth="1" min="5" max="5"/>
    <col width="18" customWidth="1" min="6" max="6"/>
    <col width="34" customWidth="1" min="7" max="7"/>
    <col width="22" customWidth="1" min="8" max="8"/>
    <col width="19" customWidth="1" min="9" max="9"/>
    <col width="14" customWidth="1" min="10" max="10"/>
    <col width="14" customWidth="1" min="11" max="11"/>
    <col width="30" customWidth="1" min="12" max="12"/>
    <col width="26" customWidth="1" min="13" max="13"/>
    <col width="36" customWidth="1" min="14" max="14"/>
    <col width="36" customWidth="1" min="15" max="15"/>
    <col width="46" customWidth="1" min="16" max="16"/>
    <col width="12" customWidth="1" min="17" max="17"/>
    <col width="12" customWidth="1" min="18" max="18"/>
    <col width="12" customWidth="1" min="19" max="19"/>
    <col width="12" customWidth="1" min="20" max="20"/>
    <col width="14" customWidth="1" min="21" max="21"/>
    <col width="25" customWidth="1" min="22" max="22"/>
    <col width="34" customWidth="1" min="23" max="23"/>
    <col width="48" customWidth="1" min="24" max="24"/>
  </cols>
  <sheetData>
    <row r="1" ht="42" customHeight="1">
      <c r="A1" s="28" t="inlineStr">
        <is>
          <t>Option ID</t>
        </is>
      </c>
      <c r="B1" s="28" t="inlineStr">
        <is>
          <t>Category</t>
        </is>
      </c>
      <c r="C1" s="28" t="inlineStr">
        <is>
          <t>Analyte / COA coverage</t>
        </is>
      </c>
      <c r="D1" s="28" t="inlineStr">
        <is>
          <t>Methods / standards supported</t>
        </is>
      </c>
      <c r="E1" s="28" t="inlineStr">
        <is>
          <t>Compliance fit</t>
        </is>
      </c>
      <c r="F1" s="28" t="inlineStr">
        <is>
          <t>Vendor</t>
        </is>
      </c>
      <c r="G1" s="28" t="inlineStr">
        <is>
          <t>Model / item</t>
        </is>
      </c>
      <c r="H1" s="28" t="inlineStr">
        <is>
          <t>Option tier</t>
        </is>
      </c>
      <c r="I1" s="28" t="inlineStr">
        <is>
          <t>Launch priority</t>
        </is>
      </c>
      <c r="J1" s="28" t="inlineStr">
        <is>
          <t>New purchase low USD</t>
        </is>
      </c>
      <c r="K1" s="28" t="inlineStr">
        <is>
          <t>New purchase high USD</t>
        </is>
      </c>
      <c r="L1" s="28" t="inlineStr">
        <is>
          <t>List price / public price</t>
        </is>
      </c>
      <c r="M1" s="28" t="inlineStr">
        <is>
          <t>Price basis</t>
        </is>
      </c>
      <c r="N1" s="28" t="inlineStr">
        <is>
          <t>Product URL</t>
        </is>
      </c>
      <c r="O1" s="28" t="inlineStr">
        <is>
          <t>Price/source URL</t>
        </is>
      </c>
      <c r="P1" s="28" t="inlineStr">
        <is>
          <t>Recommendation / notes</t>
        </is>
      </c>
      <c r="Q1" s="28" t="inlineStr">
        <is>
          <t>In Scenario A</t>
        </is>
      </c>
      <c r="R1" s="28" t="inlineStr">
        <is>
          <t>In Scenario B</t>
        </is>
      </c>
      <c r="S1" s="28" t="inlineStr">
        <is>
          <t>In Scenario C</t>
        </is>
      </c>
      <c r="T1" s="28" t="inlineStr">
        <is>
          <t>In Scenario D</t>
        </is>
      </c>
      <c r="U1" s="28" t="inlineStr">
        <is>
          <t>Scenario tags</t>
        </is>
      </c>
      <c r="V1" s="28" t="inlineStr">
        <is>
          <t>Gafta Gate Status</t>
        </is>
      </c>
      <c r="W1" s="28" t="inlineStr">
        <is>
          <t>Required Gafta Method</t>
        </is>
      </c>
      <c r="X1" s="28" t="inlineStr">
        <is>
          <t>Evidence / Selection Condition</t>
        </is>
      </c>
    </row>
    <row r="2" ht="78" customHeight="1">
      <c r="A2" s="49" t="inlineStr">
        <is>
          <t>MYCO-01</t>
        </is>
      </c>
      <c r="B2" s="49" t="inlineStr">
        <is>
          <t>Mycotoxins</t>
        </is>
      </c>
      <c r="C2" s="49" t="inlineStr">
        <is>
          <t>Aflatoxin B1/B2/G1/G2 and sum; DON; fumonisin B1/B2/B3; ochratoxin A; T-2; HT-2; zearalenone</t>
        </is>
      </c>
      <c r="D2" s="49" t="inlineStr">
        <is>
          <t>Gafta Method 18.1 / ISO 17375 for aflatoxins, with mass spectrometry expressly permitted; separate validated methods for other mycotoxins</t>
        </is>
      </c>
      <c r="E2" s="49" t="inlineStr">
        <is>
          <t>Gafta-listed for aflatoxins; no Gafta No.130 method listed for the other customer mycotoxins</t>
        </is>
      </c>
      <c r="F2" s="49" t="inlineStr">
        <is>
          <t>Shimadzu</t>
        </is>
      </c>
      <c r="G2" s="49" t="inlineStr">
        <is>
          <t>Existing LCMS-8040RX triple quadrupole + mycotoxin method package/validation</t>
        </is>
      </c>
      <c r="H2" s="49" t="inlineStr">
        <is>
          <t>Owned - use existing</t>
        </is>
      </c>
      <c r="I2" s="49" t="inlineStr">
        <is>
          <t>Use existing; fund validation</t>
        </is>
      </c>
      <c r="J2" s="49" t="n">
        <v>0</v>
      </c>
      <c r="K2" s="49" t="n">
        <v>0</v>
      </c>
      <c r="L2" s="49" t="inlineStr">
        <is>
          <t>Owned instrument; budget $10k-$35k for method package, standards, columns, cleanup, validation</t>
        </is>
      </c>
      <c r="M2" s="49" t="inlineStr">
        <is>
          <t>Owned by AIT; consumables/application support estimate</t>
        </is>
      </c>
      <c r="N2" s="34" t="inlineStr">
        <is>
          <t>https://www.shimadzu.com/an/resources/movies/LCMS-8040/index.html</t>
        </is>
      </c>
      <c r="O2" s="34" t="inlineStr">
        <is>
          <t>https://www.shimadzu.com/an/products/liquid-chromatograph-mass-spectrometry/lc-ms-system/lcmsms-method-package-for-mycotoxins/index.html</t>
        </is>
      </c>
      <c r="P2" s="49" t="inlineStr">
        <is>
          <t>Use the existing LCMS-8040RX. For Gafta aflatoxins, implement the ISO 17375 sample preparation/cleanup requirements and use MS only as the expressly permitted detection technique. Other mycotoxins remain customer-agreed methods.</t>
        </is>
      </c>
      <c r="Q2" s="49" t="inlineStr">
        <is>
          <t>Yes</t>
        </is>
      </c>
      <c r="R2" s="49" t="inlineStr">
        <is>
          <t>Yes</t>
        </is>
      </c>
      <c r="S2" s="49" t="inlineStr">
        <is>
          <t>Yes</t>
        </is>
      </c>
      <c r="T2" s="49" t="inlineStr"/>
      <c r="U2" s="49" t="inlineStr">
        <is>
          <t>A, B, C</t>
        </is>
      </c>
      <c r="V2" s="49" t="inlineStr">
        <is>
          <t>PASS - listed detection allowance</t>
        </is>
      </c>
      <c r="W2" s="49" t="inlineStr">
        <is>
          <t>18.1 / ISO 17375 (aflatoxins); MS expressly permitted</t>
        </is>
      </c>
      <c r="X2" s="49" t="inlineStr">
        <is>
          <t>ISO 17375 preparation/cleanup must still be followed; other toxins are customer-agreed methods.</t>
        </is>
      </c>
    </row>
    <row r="3" ht="78" customHeight="1">
      <c r="A3" s="49" t="inlineStr">
        <is>
          <t>MIN-01</t>
        </is>
      </c>
      <c r="B3" s="49" t="inlineStr">
        <is>
          <t>Minerals</t>
        </is>
      </c>
      <c r="C3" s="49" t="inlineStr">
        <is>
          <t>Ca, Mg and Na under Gafta; P, K, Zn, Mn, Cu, Fe and S for customer COA as separately agreed methods</t>
        </is>
      </c>
      <c r="D3" s="49" t="inlineStr">
        <is>
          <t>Gafta Method 14.0 / ISO 6869 for Ca, Mg and Na (ICP expressly permitted); Gafta Method 20.0 / ISO 7485 for sodium (ICP expressly permitted)</t>
        </is>
      </c>
      <c r="E3" s="49" t="inlineStr">
        <is>
          <t>Gafta-listed only for Ca, Mg and Na as stated in the register; other COA minerals have no applicable Gafta No.130 method listed</t>
        </is>
      </c>
      <c r="F3" s="49" t="inlineStr">
        <is>
          <t>Existing instrument</t>
        </is>
      </c>
      <c r="G3" s="49" t="inlineStr">
        <is>
          <t>Existing ICP-OES + existing Anton Paar Multiwave 5000 digestion</t>
        </is>
      </c>
      <c r="H3" s="49" t="inlineStr">
        <is>
          <t>Owned - use existing</t>
        </is>
      </c>
      <c r="I3" s="49" t="inlineStr">
        <is>
          <t>Use existing; fund validation</t>
        </is>
      </c>
      <c r="J3" s="49" t="n">
        <v>0</v>
      </c>
      <c r="K3" s="49" t="n">
        <v>0</v>
      </c>
      <c r="L3" s="49" t="inlineStr">
        <is>
          <t>Owned instrument; budget $5k-$20k for standards, digestion vessels/consumables, validation</t>
        </is>
      </c>
      <c r="M3" s="49" t="inlineStr">
        <is>
          <t>Owned by AIT; consumables/application support estimate</t>
        </is>
      </c>
      <c r="N3" s="49" t="inlineStr">
        <is>
          <t>User provided - existing ICP-OES</t>
        </is>
      </c>
      <c r="O3" s="49" t="inlineStr">
        <is>
          <t>User provided - existing ICP-OES</t>
        </is>
      </c>
      <c r="P3" s="49" t="inlineStr">
        <is>
          <t>Use the existing ICP-OES for Gafta Ca/Mg/Na under the stated ISO methods and for the other customer minerals under separately controlled methods. Phosphorus must use ISO 6491 for Gafta reporting.</t>
        </is>
      </c>
      <c r="Q3" s="49" t="inlineStr">
        <is>
          <t>Yes</t>
        </is>
      </c>
      <c r="R3" s="49" t="inlineStr">
        <is>
          <t>Yes</t>
        </is>
      </c>
      <c r="S3" s="49" t="inlineStr">
        <is>
          <t>Yes</t>
        </is>
      </c>
      <c r="T3" s="49" t="inlineStr"/>
      <c r="U3" s="49" t="inlineStr">
        <is>
          <t>A, B, C</t>
        </is>
      </c>
      <c r="V3" s="49" t="inlineStr">
        <is>
          <t>PASS - limited listed analytes</t>
        </is>
      </c>
      <c r="W3" s="49" t="inlineStr">
        <is>
          <t>14.0 / ISO 6869 Ca, Mg, Na; 20.0 / ISO 7485 Na; ICP permitted</t>
        </is>
      </c>
      <c r="X3" s="49" t="inlineStr">
        <is>
          <t>Do not describe K, Zn, Mn, Cu, Fe, S or ICP phosphorus as Gafta methods.</t>
        </is>
      </c>
    </row>
    <row r="4" ht="78" customHeight="1">
      <c r="A4" s="49" t="inlineStr">
        <is>
          <t>MIN-02</t>
        </is>
      </c>
      <c r="B4" s="49" t="inlineStr">
        <is>
          <t>Phosphorus colorimetry</t>
        </is>
      </c>
      <c r="C4" s="49" t="inlineStr">
        <is>
          <t>Phosphorus by Gafta ISO 6491; other colorimetric assays only where separately controlled</t>
        </is>
      </c>
      <c r="D4" s="49" t="inlineStr">
        <is>
          <t>Gafta Method 8.0 / ISO 6491 phosphorus</t>
        </is>
      </c>
      <c r="E4" s="49" t="inlineStr">
        <is>
          <t>Gafta-listed method apparatus</t>
        </is>
      </c>
      <c r="F4" s="49" t="inlineStr">
        <is>
          <t>Shimadzu</t>
        </is>
      </c>
      <c r="G4" s="49" t="inlineStr">
        <is>
          <t>UV-1900i Plus double-beam UV-Vis with 6-cell changer</t>
        </is>
      </c>
      <c r="H4" s="49" t="inlineStr">
        <is>
          <t>Recommended</t>
        </is>
      </c>
      <c r="I4" s="49" t="inlineStr">
        <is>
          <t>Launch purchase</t>
        </is>
      </c>
      <c r="J4" s="49" t="n">
        <v>22000</v>
      </c>
      <c r="K4" s="49" t="n">
        <v>32000</v>
      </c>
      <c r="L4" s="49" t="inlineStr">
        <is>
          <t>Quote; configured estimate includes cells, software, qualification</t>
        </is>
      </c>
      <c r="M4" s="49" t="inlineStr">
        <is>
          <t>Estimate from comparable UV-Vis market pricing; official page is quote only</t>
        </is>
      </c>
      <c r="N4" s="34" t="inlineStr">
        <is>
          <t>https://www.shimadzu.com/an/products/uv-vis/uv-vis-nir-spectroscopy/uv-1900i-plus/index.html</t>
        </is>
      </c>
      <c r="O4" s="34" t="inlineStr">
        <is>
          <t>https://www.shimadzu.com/an/products/uv-vis/uv-vis-nir-spectroscopy/uv-1900i-plus/index.html</t>
        </is>
      </c>
      <c r="P4" s="49" t="inlineStr">
        <is>
          <t>Preferred Shimadzu option. Run the complete ISO 6491 chemistry, wavelength, calibration and calculation; the spectrophotometer is only the measurement component.</t>
        </is>
      </c>
      <c r="Q4" s="49" t="inlineStr">
        <is>
          <t>Yes</t>
        </is>
      </c>
      <c r="R4" s="49" t="inlineStr"/>
      <c r="S4" s="49" t="inlineStr">
        <is>
          <t>Yes</t>
        </is>
      </c>
      <c r="T4" s="49" t="inlineStr"/>
      <c r="U4" s="49" t="inlineStr">
        <is>
          <t>A, C</t>
        </is>
      </c>
      <c r="V4" s="49" t="inlineStr">
        <is>
          <t>PASS - exact method apparatus</t>
        </is>
      </c>
      <c r="W4" s="49" t="inlineStr">
        <is>
          <t>8.0 / ISO 6491 phosphorus</t>
        </is>
      </c>
      <c r="X4" s="49" t="inlineStr">
        <is>
          <t>Execute the full ISO method; instrument alone does not confer compliance.</t>
        </is>
      </c>
    </row>
    <row r="5" ht="78" customHeight="1">
      <c r="A5" s="49" t="inlineStr">
        <is>
          <t>MIN-03</t>
        </is>
      </c>
      <c r="B5" s="49" t="inlineStr">
        <is>
          <t>Phosphorus colorimetry</t>
        </is>
      </c>
      <c r="C5" s="49" t="inlineStr">
        <is>
          <t>Phosphorus by Gafta ISO 6491; other colorimetric assays only where separately controlled</t>
        </is>
      </c>
      <c r="D5" s="49" t="inlineStr">
        <is>
          <t>Gafta Method 8.0 / ISO 6491 phosphorus</t>
        </is>
      </c>
      <c r="E5" s="49" t="inlineStr">
        <is>
          <t>Gafta-listed method apparatus</t>
        </is>
      </c>
      <c r="F5" s="49" t="inlineStr">
        <is>
          <t>Thermo Scientific</t>
        </is>
      </c>
      <c r="G5" s="49" t="inlineStr">
        <is>
          <t>Evolution One UV-Vis</t>
        </is>
      </c>
      <c r="H5" s="49" t="inlineStr">
        <is>
          <t>Budget recommended</t>
        </is>
      </c>
      <c r="I5" s="49" t="inlineStr">
        <is>
          <t>Budget option</t>
        </is>
      </c>
      <c r="J5" s="49" t="n">
        <v>14000</v>
      </c>
      <c r="K5" s="49" t="n">
        <v>21000</v>
      </c>
      <c r="L5" s="49" t="inlineStr">
        <is>
          <t>Instrument public price $10,200; configured estimate higher</t>
        </is>
      </c>
      <c r="M5" s="49" t="inlineStr">
        <is>
          <t>Public list price plus cells/software/qualification estimate</t>
        </is>
      </c>
      <c r="N5" s="34" t="inlineStr">
        <is>
          <t>https://www.thermofisher.com/order/catalog/product/840-341400</t>
        </is>
      </c>
      <c r="O5" s="34" t="inlineStr">
        <is>
          <t>https://www.thermofisher.com/order/catalog/product/840-341400</t>
        </is>
      </c>
      <c r="P5" s="49" t="inlineStr">
        <is>
          <t>Lower-cost UV-Vis option. Run the complete ISO 6491 procedure and qualify the instrument at the method wavelength.</t>
        </is>
      </c>
      <c r="Q5" s="49" t="inlineStr"/>
      <c r="R5" s="49" t="inlineStr">
        <is>
          <t>Yes</t>
        </is>
      </c>
      <c r="S5" s="49" t="inlineStr"/>
      <c r="T5" s="49" t="inlineStr"/>
      <c r="U5" s="49" t="inlineStr">
        <is>
          <t>B</t>
        </is>
      </c>
      <c r="V5" s="49" t="inlineStr">
        <is>
          <t>PASS - exact method apparatus</t>
        </is>
      </c>
      <c r="W5" s="49" t="inlineStr">
        <is>
          <t>8.0 / ISO 6491 phosphorus</t>
        </is>
      </c>
      <c r="X5" s="49" t="inlineStr">
        <is>
          <t>Execute the full ISO method; instrument alone does not confer compliance.</t>
        </is>
      </c>
    </row>
    <row r="6" ht="78" customHeight="1">
      <c r="A6" s="49" t="inlineStr">
        <is>
          <t>MOIST-02</t>
        </is>
      </c>
      <c r="B6" s="49" t="inlineStr">
        <is>
          <t>Reference drying/ashing</t>
        </is>
      </c>
      <c r="C6" s="49" t="inlineStr">
        <is>
          <t>Moisture/dry matter by ISO 6496; crude ash by ISO 5984; fiber crucible drying/ashing</t>
        </is>
      </c>
      <c r="D6" s="49" t="inlineStr">
        <is>
          <t>Gafta Method 2.1 / ISO 6496 moisture; Gafta Method 11.1 / ISO 5984 ash; ISO 6865 post-digestion drying/ashing support</t>
        </is>
      </c>
      <c r="E6" s="49" t="inlineStr">
        <is>
          <t>Direct Gafta reference-method equipment</t>
        </is>
      </c>
      <c r="F6" s="49" t="inlineStr">
        <is>
          <t>Thermo Scientific</t>
        </is>
      </c>
      <c r="G6" s="49" t="inlineStr">
        <is>
          <t>Heratherm OGS100 oven + Thermolyne F6010 muffle furnace</t>
        </is>
      </c>
      <c r="H6" s="49" t="inlineStr">
        <is>
          <t>Budget reference package</t>
        </is>
      </c>
      <c r="I6" s="49" t="inlineStr">
        <is>
          <t>Launch purchase</t>
        </is>
      </c>
      <c r="J6" s="49" t="n">
        <v>7500</v>
      </c>
      <c r="K6" s="49" t="n">
        <v>12000</v>
      </c>
      <c r="L6" s="49" t="inlineStr">
        <is>
          <t>OGS100 public price $2,709; F6010 public price $4,770</t>
        </is>
      </c>
      <c r="M6" s="49" t="inlineStr">
        <is>
          <t>Public prices plus accessories/qualification</t>
        </is>
      </c>
      <c r="N6" s="34" t="inlineStr">
        <is>
          <t>https://www.thermofisher.com/order/catalog/product/51028112</t>
        </is>
      </c>
      <c r="O6" s="34" t="inlineStr">
        <is>
          <t>https://www.thermofisher.com/order/catalog/product/F6010</t>
        </is>
      </c>
      <c r="P6" s="49" t="inlineStr">
        <is>
          <t>Lowest-capex direct route for Gafta moisture and ash. Configure dishes, lids, crucibles, temperatures, times and repeat-drying exactly to the current ISO methods.</t>
        </is>
      </c>
      <c r="Q6" s="49" t="inlineStr">
        <is>
          <t>Yes</t>
        </is>
      </c>
      <c r="R6" s="49" t="inlineStr">
        <is>
          <t>Yes</t>
        </is>
      </c>
      <c r="S6" s="49" t="inlineStr"/>
      <c r="T6" s="49" t="inlineStr">
        <is>
          <t>Yes</t>
        </is>
      </c>
      <c r="U6" s="49" t="inlineStr">
        <is>
          <t>A, B, D</t>
        </is>
      </c>
      <c r="V6" s="49" t="inlineStr">
        <is>
          <t>PASS - direct reference equipment</t>
        </is>
      </c>
      <c r="W6" s="49" t="inlineStr">
        <is>
          <t>2.1 / ISO 6496 moisture; 11.1 / ISO 5984 ash</t>
        </is>
      </c>
      <c r="X6" s="49" t="inlineStr">
        <is>
          <t>Use exact current ISO conditions and compliant dishes/crucibles.</t>
        </is>
      </c>
    </row>
    <row r="7" ht="78" customHeight="1">
      <c r="A7" s="49" t="inlineStr">
        <is>
          <t>MOIST-03</t>
        </is>
      </c>
      <c r="B7" s="49" t="inlineStr">
        <is>
          <t>Reference drying/ashing</t>
        </is>
      </c>
      <c r="C7" s="49" t="inlineStr">
        <is>
          <t>Moisture/dry matter by ISO 6496; crude ash by ISO 5984; fiber crucible drying/ashing</t>
        </is>
      </c>
      <c r="D7" s="49" t="inlineStr">
        <is>
          <t>Gafta Method 2.1 / ISO 6496 moisture; Gafta Method 11.1 / ISO 5984 ash; ISO 6865 post-digestion drying/ashing support</t>
        </is>
      </c>
      <c r="E7" s="49" t="inlineStr">
        <is>
          <t>Direct Gafta reference-method equipment</t>
        </is>
      </c>
      <c r="F7" s="49" t="inlineStr">
        <is>
          <t>BINDER / Nabertherm</t>
        </is>
      </c>
      <c r="G7" s="49" t="inlineStr">
        <is>
          <t>BINDER FD 115 oven + Nabertherm L 9/11/SKM furnace</t>
        </is>
      </c>
      <c r="H7" s="49" t="inlineStr">
        <is>
          <t>Premium reference package</t>
        </is>
      </c>
      <c r="I7" s="49" t="inlineStr">
        <is>
          <t>Launch purchase</t>
        </is>
      </c>
      <c r="J7" s="49" t="n">
        <v>13000</v>
      </c>
      <c r="K7" s="49" t="n">
        <v>22000</v>
      </c>
      <c r="L7" s="49" t="inlineStr">
        <is>
          <t>Nabertherm L 9/11/SKM public discounted price about $8,023; oven quote/list varies</t>
        </is>
      </c>
      <c r="M7" s="49" t="inlineStr">
        <is>
          <t>Public furnace price plus oven/accessories/qualification estimate</t>
        </is>
      </c>
      <c r="N7" s="34" t="inlineStr">
        <is>
          <t>https://www.binder-world.com/int-en/products/drying-ovens/product/fd-115</t>
        </is>
      </c>
      <c r="O7" s="34" t="inlineStr">
        <is>
          <t>https://www.genlabdirect.com/nabertherm-inc-muffle-furnace-l9-11-skm-b510-1100c-240v-lm094k1ln1-240</t>
        </is>
      </c>
      <c r="P7" s="49" t="inlineStr">
        <is>
          <t>Premium direct route for Gafta moisture and ash with a more robust furnace. Configure the exact current ISO procedures.</t>
        </is>
      </c>
      <c r="Q7" s="49" t="inlineStr"/>
      <c r="R7" s="49" t="inlineStr"/>
      <c r="S7" s="49" t="inlineStr">
        <is>
          <t>Yes</t>
        </is>
      </c>
      <c r="T7" s="49" t="inlineStr"/>
      <c r="U7" s="49" t="inlineStr">
        <is>
          <t>C</t>
        </is>
      </c>
      <c r="V7" s="49" t="inlineStr">
        <is>
          <t>PASS - direct reference equipment</t>
        </is>
      </c>
      <c r="W7" s="49" t="inlineStr">
        <is>
          <t>2.1 / ISO 6496 moisture; 11.1 / ISO 5984 ash</t>
        </is>
      </c>
      <c r="X7" s="49" t="inlineStr">
        <is>
          <t>Use exact current ISO conditions and compliant dishes/crucibles.</t>
        </is>
      </c>
    </row>
    <row r="8" ht="78" customHeight="1">
      <c r="A8" s="49" t="inlineStr">
        <is>
          <t>PROT-01</t>
        </is>
      </c>
      <c r="B8" s="49" t="inlineStr">
        <is>
          <t>Protein</t>
        </is>
      </c>
      <c r="C8" s="49" t="inlineStr">
        <is>
          <t>Crude protein; supports dry-matter-basis protein calculations</t>
        </is>
      </c>
      <c r="D8" s="49" t="inlineStr">
        <is>
          <t>Gafta Method 4.4 / ISO 16634-1 Dumas for oilseeds and animal feeding stuffs; customer/AOCS methods separately controlled</t>
        </is>
      </c>
      <c r="E8" s="49" t="inlineStr">
        <is>
          <t>Gafta-listed method when operated under ISO 16634-1</t>
        </is>
      </c>
      <c r="F8" s="49" t="inlineStr">
        <is>
          <t>LECO</t>
        </is>
      </c>
      <c r="G8" s="49" t="inlineStr">
        <is>
          <t>828P / FP828 nitrogen-protein analyzer</t>
        </is>
      </c>
      <c r="H8" s="49" t="inlineStr">
        <is>
          <t>Recommended throughput</t>
        </is>
      </c>
      <c r="I8" s="49" t="inlineStr">
        <is>
          <t>Launch purchase</t>
        </is>
      </c>
      <c r="J8" s="49" t="n">
        <v>85000</v>
      </c>
      <c r="K8" s="49" t="n">
        <v>125000</v>
      </c>
      <c r="L8" s="49" t="inlineStr">
        <is>
          <t>Quote only; budget estimate</t>
        </is>
      </c>
      <c r="M8" s="49" t="inlineStr">
        <is>
          <t>Market estimate for installed Dumas analyzer</t>
        </is>
      </c>
      <c r="N8" s="34" t="inlineStr">
        <is>
          <t>https://www.leco.com/products/828-series/</t>
        </is>
      </c>
      <c r="O8" s="34" t="inlineStr">
        <is>
          <t>https://www.leco.com/resources/methods/</t>
        </is>
      </c>
      <c r="P8" s="49" t="inlineStr">
        <is>
          <t>Retain as the high-throughput protein option. Require the vendor application/SOP for the current ISO 16634-1, DDGS matrix data, nitrogen factor controls and ISO/IEC 17025 references.</t>
        </is>
      </c>
      <c r="Q8" s="49" t="inlineStr">
        <is>
          <t>Yes</t>
        </is>
      </c>
      <c r="R8" s="49" t="inlineStr">
        <is>
          <t>Yes</t>
        </is>
      </c>
      <c r="S8" s="49" t="inlineStr">
        <is>
          <t>Yes</t>
        </is>
      </c>
      <c r="T8" s="49" t="inlineStr">
        <is>
          <t>Yes</t>
        </is>
      </c>
      <c r="U8" s="49" t="inlineStr">
        <is>
          <t>A, B, C, D</t>
        </is>
      </c>
      <c r="V8" s="49" t="inlineStr">
        <is>
          <t>PASS - listed instrumental method</t>
        </is>
      </c>
      <c r="W8" s="49" t="inlineStr">
        <is>
          <t>4.4 / ISO 16634-1 Dumas</t>
        </is>
      </c>
      <c r="X8" s="49" t="inlineStr">
        <is>
          <t>Require current ISO 16634-1 vendor SOP/application and scope evidence.</t>
        </is>
      </c>
    </row>
    <row r="9" ht="78" customHeight="1">
      <c r="A9" s="49" t="inlineStr">
        <is>
          <t>PROT-02</t>
        </is>
      </c>
      <c r="B9" s="49" t="inlineStr">
        <is>
          <t>Protein</t>
        </is>
      </c>
      <c r="C9" s="49" t="inlineStr">
        <is>
          <t>Crude protein reference; method comparison and disputes</t>
        </is>
      </c>
      <c r="D9" s="49" t="inlineStr">
        <is>
          <t>Gafta Method 4.1 / ISO 5983-2 reference method; ISO 5983-1 also accepted by Gafta</t>
        </is>
      </c>
      <c r="E9" s="49" t="inlineStr">
        <is>
          <t>Gafta reference method</t>
        </is>
      </c>
      <c r="F9" s="49" t="inlineStr">
        <is>
          <t>FOSS / Gerhardt / VELP</t>
        </is>
      </c>
      <c r="G9" s="49" t="inlineStr">
        <is>
          <t>Automated Kjeldahl digestion/distillation package</t>
        </is>
      </c>
      <c r="H9" s="49" t="inlineStr">
        <is>
          <t>Reference/budget alternative</t>
        </is>
      </c>
      <c r="I9" s="49" t="inlineStr">
        <is>
          <t>Optional if Dumas purchased</t>
        </is>
      </c>
      <c r="J9" s="49" t="n">
        <v>25000</v>
      </c>
      <c r="K9" s="49" t="n">
        <v>65000</v>
      </c>
      <c r="L9" s="49" t="inlineStr">
        <is>
          <t>Quote only; budget estimate</t>
        </is>
      </c>
      <c r="M9" s="49" t="inlineStr">
        <is>
          <t>Installed system estimate</t>
        </is>
      </c>
      <c r="N9" s="34" t="inlineStr">
        <is>
          <t>https://www.fossanalytics.com/en/products/kjeltec-9-analyzer</t>
        </is>
      </c>
      <c r="O9" s="34" t="inlineStr">
        <is>
          <t>https://www.gerhardt.de/en/products/kjeldahl-analysis/</t>
        </is>
      </c>
      <c r="P9" s="49" t="inlineStr">
        <is>
          <t>Direct Kjeldahl reference route. Select digestion, distillation and titration equipment that performs the current ISO 5983-2 or accepted ISO 5983-1 procedure exactly.</t>
        </is>
      </c>
      <c r="Q9" s="49" t="inlineStr"/>
      <c r="R9" s="49" t="inlineStr"/>
      <c r="S9" s="49" t="inlineStr">
        <is>
          <t>Yes</t>
        </is>
      </c>
      <c r="T9" s="49" t="inlineStr"/>
      <c r="U9" s="49" t="inlineStr">
        <is>
          <t>C</t>
        </is>
      </c>
      <c r="V9" s="49" t="inlineStr">
        <is>
          <t>PASS - Gafta reference method</t>
        </is>
      </c>
      <c r="W9" s="49" t="inlineStr">
        <is>
          <t>4.1 / ISO 5983-2; ISO 5983-1 also accepted</t>
        </is>
      </c>
      <c r="X9" s="49" t="inlineStr">
        <is>
          <t>Configure exact digestion, distillation and titration procedure.</t>
        </is>
      </c>
    </row>
    <row r="10" ht="78" customHeight="1">
      <c r="A10" s="49" t="inlineStr">
        <is>
          <t>FAT-01</t>
        </is>
      </c>
      <c r="B10" s="49" t="inlineStr">
        <is>
          <t>Crude fat / oil</t>
        </is>
      </c>
      <c r="C10" s="49" t="inlineStr">
        <is>
          <t>Crude fat; oil/fat basis calculations</t>
        </is>
      </c>
      <c r="D10" s="49" t="inlineStr">
        <is>
          <t>Gafta Method 3.2 / ISO 6492 animal feeding stuffs, Procedure A only; Procedure B does not apply</t>
        </is>
      </c>
      <c r="E10" s="49" t="inlineStr">
        <is>
          <t>Gafta-listed method; Procedure A confirmation required</t>
        </is>
      </c>
      <c r="F10" s="49" t="inlineStr">
        <is>
          <t>FOSS</t>
        </is>
      </c>
      <c r="G10" s="49" t="inlineStr">
        <is>
          <t>Soxtec 8000, 6-position or 12-position</t>
        </is>
      </c>
      <c r="H10" s="49" t="inlineStr">
        <is>
          <t>Recommended compliance/throughput</t>
        </is>
      </c>
      <c r="I10" s="49" t="inlineStr">
        <is>
          <t>Launch purchase</t>
        </is>
      </c>
      <c r="J10" s="49" t="n">
        <v>70000</v>
      </c>
      <c r="K10" s="49" t="n">
        <v>140000</v>
      </c>
      <c r="L10" s="49" t="inlineStr">
        <is>
          <t>Quote only; 6-position product listing available but price not public</t>
        </is>
      </c>
      <c r="M10" s="49" t="inlineStr">
        <is>
          <t>Budget estimate; 12-position upper range</t>
        </is>
      </c>
      <c r="N10" s="34" t="inlineStr">
        <is>
          <t>https://www.fossanalytics.com/en/products/soxtec-8000</t>
        </is>
      </c>
      <c r="O10" s="34" t="inlineStr">
        <is>
          <t>https://www.fishersci.com/shop/products/foss-soxtec-8000-extraction-systems-extractable-matter/TCS8000800G</t>
        </is>
      </c>
      <c r="P10" s="49" t="inlineStr">
        <is>
          <t>FOSS explicitly lists ISO 6492. Purchase only after FOSS supplies the exact Procedure A application/SOP and confirms the selected cup, thimble, solvent, times and drying sequence.</t>
        </is>
      </c>
      <c r="Q10" s="49" t="inlineStr"/>
      <c r="R10" s="49" t="inlineStr"/>
      <c r="S10" s="49" t="inlineStr">
        <is>
          <t>Yes</t>
        </is>
      </c>
      <c r="T10" s="49" t="inlineStr"/>
      <c r="U10" s="49" t="inlineStr">
        <is>
          <t>C</t>
        </is>
      </c>
      <c r="V10" s="49" t="inlineStr">
        <is>
          <t>CONDITIONAL PASS</t>
        </is>
      </c>
      <c r="W10" s="49" t="inlineStr">
        <is>
          <t>3.2 / ISO 6492 Procedure A only</t>
        </is>
      </c>
      <c r="X10" s="49" t="inlineStr">
        <is>
          <t>Vendor explicitly lists ISO 6492; buy only with written Procedure A mapping.</t>
        </is>
      </c>
    </row>
    <row r="11" ht="78" customHeight="1">
      <c r="A11" s="49" t="inlineStr">
        <is>
          <t>FAT-02</t>
        </is>
      </c>
      <c r="B11" s="49" t="inlineStr">
        <is>
          <t>Crude fat / oil</t>
        </is>
      </c>
      <c r="C11" s="49" t="inlineStr">
        <is>
          <t>Crude fat; soluble extractives</t>
        </is>
      </c>
      <c r="D11" s="49" t="inlineStr">
        <is>
          <t>Gafta Method 3.2 / ISO 6492 animal feeding stuffs, Procedure A only; Procedure B does not apply</t>
        </is>
      </c>
      <c r="E11" s="49" t="inlineStr">
        <is>
          <t>Gafta-listed method; Procedure A confirmation required</t>
        </is>
      </c>
      <c r="F11" s="49" t="inlineStr">
        <is>
          <t>FOSS</t>
        </is>
      </c>
      <c r="G11" s="49" t="inlineStr">
        <is>
          <t>ST 255 Soxtec semi-automated 6-position system</t>
        </is>
      </c>
      <c r="H11" s="49" t="inlineStr">
        <is>
          <t>FOSS budget option</t>
        </is>
      </c>
      <c r="I11" s="49" t="inlineStr">
        <is>
          <t>Budget option</t>
        </is>
      </c>
      <c r="J11" s="49" t="n">
        <v>35000</v>
      </c>
      <c r="K11" s="49" t="n">
        <v>60000</v>
      </c>
      <c r="L11" s="49" t="inlineStr">
        <is>
          <t>Quote only</t>
        </is>
      </c>
      <c r="M11" s="49" t="inlineStr">
        <is>
          <t>Budget estimate for semi-automated Soxtec line</t>
        </is>
      </c>
      <c r="N11" s="34" t="inlineStr">
        <is>
          <t>https://www.fossanalytics.com/products/soxtec_labtec-st-255</t>
        </is>
      </c>
      <c r="O11" s="34" t="inlineStr">
        <is>
          <t>https://www.fossanalytics.com/products/soxtec_labtec-st-255</t>
        </is>
      </c>
      <c r="P11" s="49" t="inlineStr">
        <is>
          <t>Budget FOSS option. FOSS lists ISO 6492 for ST 255; require the exact current Procedure A application/SOP in the purchase package.</t>
        </is>
      </c>
      <c r="Q11" s="49" t="inlineStr">
        <is>
          <t>Yes</t>
        </is>
      </c>
      <c r="R11" s="49" t="inlineStr"/>
      <c r="S11" s="49" t="inlineStr"/>
      <c r="T11" s="49" t="inlineStr">
        <is>
          <t>Yes</t>
        </is>
      </c>
      <c r="U11" s="49" t="inlineStr">
        <is>
          <t>A, D</t>
        </is>
      </c>
      <c r="V11" s="49" t="inlineStr">
        <is>
          <t>CONDITIONAL PASS</t>
        </is>
      </c>
      <c r="W11" s="49" t="inlineStr">
        <is>
          <t>3.2 / ISO 6492 Procedure A only</t>
        </is>
      </c>
      <c r="X11" s="49" t="inlineStr">
        <is>
          <t>Vendor explicitly lists ISO 6492; buy only with written Procedure A mapping.</t>
        </is>
      </c>
    </row>
    <row r="12" ht="78" customHeight="1">
      <c r="A12" s="49" t="inlineStr">
        <is>
          <t>FAT-06</t>
        </is>
      </c>
      <c r="B12" s="49" t="inlineStr">
        <is>
          <t>Crude fat / oil</t>
        </is>
      </c>
      <c r="C12" s="49" t="inlineStr">
        <is>
          <t>Crude oil/fat by the Gafta reference extraction; customer AOAC methods only as separate tests</t>
        </is>
      </c>
      <c r="D12" s="49" t="inlineStr">
        <is>
          <t>Gafta Method 3.2 / ISO 6492 Procedure A using conventional Soxhlet apparatus</t>
        </is>
      </c>
      <c r="E12" s="49" t="inlineStr">
        <is>
          <t>Direct Gafta reference-method apparatus</t>
        </is>
      </c>
      <c r="F12" s="49" t="inlineStr">
        <is>
          <t>DWK/Kimble, Labconco, glassware suppliers</t>
        </is>
      </c>
      <c r="G12" s="49" t="inlineStr">
        <is>
          <t>Conventional Soxhlet glassware, heating mantles, condensers, solvent recovery</t>
        </is>
      </c>
      <c r="H12" s="49" t="inlineStr">
        <is>
          <t>Lowest capital / highest labor</t>
        </is>
      </c>
      <c r="I12" s="49" t="inlineStr">
        <is>
          <t>Reference backup</t>
        </is>
      </c>
      <c r="J12" s="49" t="n">
        <v>5000</v>
      </c>
      <c r="K12" s="49" t="n">
        <v>15000</v>
      </c>
      <c r="L12" s="49" t="inlineStr">
        <is>
          <t>Individual glassware components range from hundreds to low thousands</t>
        </is>
      </c>
      <c r="M12" s="49" t="inlineStr">
        <is>
          <t>Public component pricing and complete setup estimate</t>
        </is>
      </c>
      <c r="N12" s="34" t="inlineStr">
        <is>
          <t>https://www.labx.com/product/soxhlet-extractor</t>
        </is>
      </c>
      <c r="O12" s="34" t="inlineStr">
        <is>
          <t>https://www.labx.com/product/soxhlet-extractor</t>
        </is>
      </c>
      <c r="P12" s="49" t="inlineStr">
        <is>
          <t>Lowest-capex exact-method route. Configure the apparatus, thimbles, solvent, extraction duration, evaporation and final drying exactly to ISO 6492 Procedure A; highest analyst labor.</t>
        </is>
      </c>
      <c r="Q12" s="49" t="inlineStr"/>
      <c r="R12" s="49" t="inlineStr">
        <is>
          <t>Yes</t>
        </is>
      </c>
      <c r="S12" s="49" t="inlineStr"/>
      <c r="T12" s="49" t="inlineStr"/>
      <c r="U12" s="49" t="inlineStr">
        <is>
          <t>B</t>
        </is>
      </c>
      <c r="V12" s="49" t="inlineStr">
        <is>
          <t>PASS - direct reference apparatus</t>
        </is>
      </c>
      <c r="W12" s="49" t="inlineStr">
        <is>
          <t>3.2 / ISO 6492 Procedure A only</t>
        </is>
      </c>
      <c r="X12" s="49" t="inlineStr">
        <is>
          <t>Set up and document the exact conventional procedure.</t>
        </is>
      </c>
    </row>
    <row r="13" ht="78" customHeight="1">
      <c r="A13" s="49" t="inlineStr">
        <is>
          <t>FIBER-01</t>
        </is>
      </c>
      <c r="B13" s="49" t="inlineStr">
        <is>
          <t>Crude fiber / NDF / ADF</t>
        </is>
      </c>
      <c r="C13" s="49" t="inlineStr">
        <is>
          <t>Crude fiber; NDF; ADF/ADL if measured</t>
        </is>
      </c>
      <c r="D13" s="49" t="inlineStr">
        <is>
          <t>Gafta Method 9.0 / ISO 6865 crude fibre; ISO 16472 NDF and ISO 13906 ADF/ADL as separately agreed non-Gafta tests</t>
        </is>
      </c>
      <c r="E13" s="49" t="inlineStr">
        <is>
          <t>Gafta-listed crude-fibre method</t>
        </is>
      </c>
      <c r="F13" s="49" t="inlineStr">
        <is>
          <t>FOSS</t>
        </is>
      </c>
      <c r="G13" s="49" t="inlineStr">
        <is>
          <t>Fibertec 8000 + FT 121 cold extractor as needed</t>
        </is>
      </c>
      <c r="H13" s="49" t="inlineStr">
        <is>
          <t>Premium automated</t>
        </is>
      </c>
      <c r="I13" s="49" t="inlineStr">
        <is>
          <t>Alternative to VELP</t>
        </is>
      </c>
      <c r="J13" s="49" t="n">
        <v>100000</v>
      </c>
      <c r="K13" s="49" t="n">
        <v>140000</v>
      </c>
      <c r="L13" s="49" t="inlineStr">
        <is>
          <t>Quote only</t>
        </is>
      </c>
      <c r="M13" s="49" t="inlineStr">
        <is>
          <t>Budget estimate</t>
        </is>
      </c>
      <c r="N13" s="34" t="inlineStr">
        <is>
          <t>https://www.fossanalytics.com/en/products/fibertec-8000</t>
        </is>
      </c>
      <c r="O13" s="34" t="inlineStr">
        <is>
          <t>https://www.gerber-instruments.com/files/gerber-instruments_files/pdf/FOSS/FOSS%20Chemie/Fibertec/Fibertec_8000_Solution_Brochure_GB%20pdf.pdf</t>
        </is>
      </c>
      <c r="P13" s="49" t="inlineStr">
        <is>
          <t>FOSS explicitly lists ISO 6865. Strong premium automation option; require the current ISO 6865 application/SOP and all required crucibles/cold extraction accessories.</t>
        </is>
      </c>
      <c r="Q13" s="49" t="inlineStr"/>
      <c r="R13" s="49" t="inlineStr"/>
      <c r="S13" s="49" t="inlineStr">
        <is>
          <t>Yes</t>
        </is>
      </c>
      <c r="T13" s="49" t="inlineStr"/>
      <c r="U13" s="49" t="inlineStr">
        <is>
          <t>C</t>
        </is>
      </c>
      <c r="V13" s="49" t="inlineStr">
        <is>
          <t>PASS - vendor lists exact standard</t>
        </is>
      </c>
      <c r="W13" s="49" t="inlineStr">
        <is>
          <t>9.0 / ISO 6865 crude fibre</t>
        </is>
      </c>
      <c r="X13" s="49" t="inlineStr">
        <is>
          <t>Require the current ISO 6865 application and DDGS verification.</t>
        </is>
      </c>
    </row>
    <row r="14" ht="78" customHeight="1">
      <c r="A14" s="49" t="inlineStr">
        <is>
          <t>FIBER-02</t>
        </is>
      </c>
      <c r="B14" s="49" t="inlineStr">
        <is>
          <t>Crude fiber / NDF / ADF</t>
        </is>
      </c>
      <c r="C14" s="49" t="inlineStr">
        <is>
          <t>Crude fiber; NDF; ADF/ADL if measured</t>
        </is>
      </c>
      <c r="D14" s="49" t="inlineStr">
        <is>
          <t>Gafta Method 9.0 / ISO 6865 crude fibre; NDF/ADF/ADL as separately agreed non-Gafta tests</t>
        </is>
      </c>
      <c r="E14" s="49" t="inlineStr">
        <is>
          <t>Gafta-listed crude-fibre method</t>
        </is>
      </c>
      <c r="F14" s="49" t="inlineStr">
        <is>
          <t>VELP</t>
        </is>
      </c>
      <c r="G14" s="49" t="inlineStr">
        <is>
          <t>FIWE Advance + COEX cold extractor</t>
        </is>
      </c>
      <c r="H14" s="49" t="inlineStr">
        <is>
          <t>Recommended value automated</t>
        </is>
      </c>
      <c r="I14" s="49" t="inlineStr">
        <is>
          <t>Launch purchase</t>
        </is>
      </c>
      <c r="J14" s="49" t="n">
        <v>75000</v>
      </c>
      <c r="K14" s="49" t="n">
        <v>110000</v>
      </c>
      <c r="L14" s="49" t="inlineStr">
        <is>
          <t>Quote only</t>
        </is>
      </c>
      <c r="M14" s="49" t="inlineStr">
        <is>
          <t>Budget estimate</t>
        </is>
      </c>
      <c r="N14" s="34" t="inlineStr">
        <is>
          <t>https://www.velp.com/en-ww/fiwe-advance-automatic-fiber-analyzer.aspx</t>
        </is>
      </c>
      <c r="O14" s="34" t="inlineStr">
        <is>
          <t>https://www.velp.com/public/file/VELPFIWE-ADVANCEENrev06-316514.pdf</t>
        </is>
      </c>
      <c r="P14" s="49" t="inlineStr">
        <is>
          <t>VELP has an ISO 6865 application for FIWE Advance. Retain as a value automated option, subject to the exact current method package and DDGS verification.</t>
        </is>
      </c>
      <c r="Q14" s="49" t="inlineStr">
        <is>
          <t>Yes</t>
        </is>
      </c>
      <c r="R14" s="49" t="inlineStr"/>
      <c r="S14" s="49" t="inlineStr"/>
      <c r="T14" s="49" t="inlineStr"/>
      <c r="U14" s="49" t="inlineStr">
        <is>
          <t>A</t>
        </is>
      </c>
      <c r="V14" s="49" t="inlineStr">
        <is>
          <t>PASS - vendor application available</t>
        </is>
      </c>
      <c r="W14" s="49" t="inlineStr">
        <is>
          <t>9.0 / ISO 6865 crude fibre</t>
        </is>
      </c>
      <c r="X14" s="49" t="inlineStr">
        <is>
          <t>Require the current ISO 6865 application and DDGS verification.</t>
        </is>
      </c>
    </row>
    <row r="15" ht="78" customHeight="1">
      <c r="A15" s="49" t="inlineStr">
        <is>
          <t>FIBER-03</t>
        </is>
      </c>
      <c r="B15" s="49" t="inlineStr">
        <is>
          <t>Crude fiber / NDF / ADF</t>
        </is>
      </c>
      <c r="C15" s="49" t="inlineStr">
        <is>
          <t>Crude fiber; NDF/ADF possible with more labor</t>
        </is>
      </c>
      <c r="D15" s="49" t="inlineStr">
        <is>
          <t>Gafta Method 9.0 / ISO 6865 crude fibre; NDF/ADF as separately agreed non-Gafta tests</t>
        </is>
      </c>
      <c r="E15" s="49" t="inlineStr">
        <is>
          <t>Gafta-listed crude-fibre method</t>
        </is>
      </c>
      <c r="F15" s="49" t="inlineStr">
        <is>
          <t>VELP</t>
        </is>
      </c>
      <c r="G15" s="49" t="inlineStr">
        <is>
          <t>FIWE 6 raw fiber analyzer</t>
        </is>
      </c>
      <c r="H15" s="49" t="inlineStr">
        <is>
          <t>Budget high-labor</t>
        </is>
      </c>
      <c r="I15" s="49" t="inlineStr">
        <is>
          <t>Budget option</t>
        </is>
      </c>
      <c r="J15" s="49" t="n">
        <v>9000</v>
      </c>
      <c r="K15" s="49" t="n">
        <v>18000</v>
      </c>
      <c r="L15" s="49" t="inlineStr">
        <is>
          <t>Public UK price GBP 6,775 before accessories/shipping</t>
        </is>
      </c>
      <c r="M15" s="49" t="inlineStr">
        <is>
          <t>Public price plus accessories/import/qualification estimate</t>
        </is>
      </c>
      <c r="N15" s="34" t="inlineStr">
        <is>
          <t>https://www.fishersci.co.uk/shop/products/fiwe6-fiber-analyzer/11775714</t>
        </is>
      </c>
      <c r="O15" s="34" t="inlineStr">
        <is>
          <t>https://www.fishersci.co.uk/shop/products/fiwe6-fiber-analyzer/11775714</t>
        </is>
      </c>
      <c r="P15" s="49" t="inlineStr">
        <is>
          <t>VELP has an ISO 6865 application for FIWE 6. Lowest-capex commercial fiber analyzer retained in the active list; more analyst handling than FIWE Advance/Fibertec 8000.</t>
        </is>
      </c>
      <c r="Q15" s="49" t="inlineStr"/>
      <c r="R15" s="49" t="inlineStr">
        <is>
          <t>Yes</t>
        </is>
      </c>
      <c r="S15" s="49" t="inlineStr"/>
      <c r="T15" s="49" t="inlineStr"/>
      <c r="U15" s="49" t="inlineStr">
        <is>
          <t>B</t>
        </is>
      </c>
      <c r="V15" s="49" t="inlineStr">
        <is>
          <t>PASS - vendor application available</t>
        </is>
      </c>
      <c r="W15" s="49" t="inlineStr">
        <is>
          <t>9.0 / ISO 6865 crude fibre</t>
        </is>
      </c>
      <c r="X15" s="49" t="inlineStr">
        <is>
          <t>Require the current ISO 6865 application and DDGS verification.</t>
        </is>
      </c>
    </row>
    <row r="16" ht="78" customHeight="1">
      <c r="A16" s="49" t="inlineStr">
        <is>
          <t>FIBER-06</t>
        </is>
      </c>
      <c r="B16" s="49" t="inlineStr">
        <is>
          <t>Crude fiber / NDF / ADF</t>
        </is>
      </c>
      <c r="C16" s="49" t="inlineStr">
        <is>
          <t>Crude fiber by Gafta ISO 6865; NDF/ADF/ADL as separately agreed customer methods</t>
        </is>
      </c>
      <c r="D16" s="49" t="inlineStr">
        <is>
          <t>Gafta Method 9.0 / ISO 6865 crude fibre; standard reference crucible methods for NDF/ADF/ADL</t>
        </is>
      </c>
      <c r="E16" s="49" t="inlineStr">
        <is>
          <t>Gafta crude fibre; customer support for NDF/ADF</t>
        </is>
      </c>
      <c r="F16" s="49" t="inlineStr">
        <is>
          <t>FOSS</t>
        </is>
      </c>
      <c r="G16" s="49" t="inlineStr">
        <is>
          <t>FT 122 Fibertec + FT 121 cold extractor</t>
        </is>
      </c>
      <c r="H16" s="49" t="inlineStr">
        <is>
          <t>FOSS budget reference option</t>
        </is>
      </c>
      <c r="I16" s="49" t="inlineStr">
        <is>
          <t>Budget option</t>
        </is>
      </c>
      <c r="J16" s="49" t="n">
        <v>30000</v>
      </c>
      <c r="K16" s="49" t="n">
        <v>55000</v>
      </c>
      <c r="L16" s="49" t="inlineStr">
        <is>
          <t>Quote only; configured estimate</t>
        </is>
      </c>
      <c r="M16" s="49" t="inlineStr">
        <is>
          <t>Budget estimate including hot/cold extraction units, crucibles, installation and training</t>
        </is>
      </c>
      <c r="N16" s="34" t="inlineStr">
        <is>
          <t>https://www.fossanalytics.com/en/products/ft-122-fibertec</t>
        </is>
      </c>
      <c r="O16" s="34" t="inlineStr">
        <is>
          <t>https://www.fossanalytics.com/-/media/files/documents/brochuresanddatasheets/products/ft-122-fibertec/fibertec-ft-122-solution-brochure-gb.pdf</t>
        </is>
      </c>
      <c r="P16" s="49" t="inlineStr">
        <is>
          <t>Lower-capex FOSS alternative to Fibertec 8000. Manual/semi-automated but uses the reference crucible workflow; require the ISO 6865 application/SOP in the purchase package.</t>
        </is>
      </c>
      <c r="Q16" s="49" t="inlineStr"/>
      <c r="R16" s="49" t="inlineStr"/>
      <c r="S16" s="49" t="inlineStr"/>
      <c r="T16" s="49" t="inlineStr">
        <is>
          <t>Yes</t>
        </is>
      </c>
      <c r="U16" s="49" t="inlineStr">
        <is>
          <t>D</t>
        </is>
      </c>
      <c r="V16" s="49" t="inlineStr">
        <is>
          <t>CONDITIONAL PASS</t>
        </is>
      </c>
      <c r="W16" s="49" t="inlineStr">
        <is>
          <t>9.0 / ISO 6865 crude fibre</t>
        </is>
      </c>
      <c r="X16" s="49" t="inlineStr">
        <is>
          <t>Reference crucible architecture; require the exact ISO 6865 method package.</t>
        </is>
      </c>
    </row>
    <row r="17" ht="78" customHeight="1">
      <c r="A17" s="49" t="inlineStr">
        <is>
          <t>STARCH-G1</t>
        </is>
      </c>
      <c r="B17" s="49" t="inlineStr">
        <is>
          <t>Starch - Gafta polarimetric</t>
        </is>
      </c>
      <c r="C17" s="49" t="inlineStr">
        <is>
          <t>Total starch content under Gafta contracts</t>
        </is>
      </c>
      <c r="D17" s="49" t="inlineStr">
        <is>
          <t>Gafta Method 22.0 / ISO 6493 polarimetric method</t>
        </is>
      </c>
      <c r="E17" s="49" t="inlineStr">
        <is>
          <t>Gafta starch method</t>
        </is>
      </c>
      <c r="F17" s="49" t="inlineStr">
        <is>
          <t>Anton Paar</t>
        </is>
      </c>
      <c r="G17" s="49" t="inlineStr">
        <is>
          <t>MCP 100 automatic polarimeter with 589 nm source, 200 mm tube and temperature measurement/control accessories</t>
        </is>
      </c>
      <c r="H17" s="49" t="inlineStr">
        <is>
          <t>Recommended value</t>
        </is>
      </c>
      <c r="I17" s="49" t="inlineStr">
        <is>
          <t>Launch if Gafta starch is required</t>
        </is>
      </c>
      <c r="J17" s="49" t="n">
        <v>20000</v>
      </c>
      <c r="K17" s="49" t="n">
        <v>35000</v>
      </c>
      <c r="L17" s="49" t="inlineStr">
        <is>
          <t>Public MCP 100 instrument price about $14,332; configured system higher</t>
        </is>
      </c>
      <c r="M17" s="49" t="inlineStr">
        <is>
          <t>Public instrument price plus 200 mm cell/tube, verification standard, temperature accessories, installation and qualification</t>
        </is>
      </c>
      <c r="N17" s="34" t="inlineStr">
        <is>
          <t>https://www.anton-paar.com/corp-en/products/details/modular-compact-polarimeter-mcp/</t>
        </is>
      </c>
      <c r="O17" s="34" t="inlineStr">
        <is>
          <t>https://www.fishersci.com/shop/products/5000580486/5000580486</t>
        </is>
      </c>
      <c r="P17" s="49" t="inlineStr">
        <is>
          <t>Use only with the complete ISO 6493 chemistry and calculation. Confirm ISO 6493 applicability to DDGS because the ISO scope warns of interference from some optically active matrices, including yeast-containing products.</t>
        </is>
      </c>
      <c r="Q17" s="49" t="inlineStr">
        <is>
          <t>Yes</t>
        </is>
      </c>
      <c r="R17" s="49" t="inlineStr"/>
      <c r="S17" s="49" t="inlineStr"/>
      <c r="T17" s="49" t="inlineStr"/>
      <c r="U17" s="49" t="inlineStr">
        <is>
          <t>A</t>
        </is>
      </c>
      <c r="V17" s="49" t="inlineStr">
        <is>
          <t>PASS - exact method apparatus</t>
        </is>
      </c>
      <c r="W17" s="49" t="inlineStr">
        <is>
          <t>22.0 / ISO 6493 polarimetric starch</t>
        </is>
      </c>
      <c r="X17" s="49" t="inlineStr">
        <is>
          <t>Confirm method applicability to DDGS/yeast matrix before final purchase.</t>
        </is>
      </c>
    </row>
    <row r="18" ht="78" customHeight="1">
      <c r="A18" s="49" t="inlineStr">
        <is>
          <t>STARCH-G2</t>
        </is>
      </c>
      <c r="B18" s="49" t="inlineStr">
        <is>
          <t>Starch - Gafta polarimetric</t>
        </is>
      </c>
      <c r="C18" s="49" t="inlineStr">
        <is>
          <t>Total starch content under Gafta contracts</t>
        </is>
      </c>
      <c r="D18" s="49" t="inlineStr">
        <is>
          <t>Gafta Method 22.0 / ISO 6493 polarimetric method</t>
        </is>
      </c>
      <c r="E18" s="49" t="inlineStr">
        <is>
          <t>Gafta starch method</t>
        </is>
      </c>
      <c r="F18" s="49" t="inlineStr">
        <is>
          <t>Rudolph Research Analytical</t>
        </is>
      </c>
      <c r="G18" s="49" t="inlineStr">
        <is>
          <t>AUTOPOL I or AUTOPOL II automatic polarimeter, 589 nm, with 200 mm tube and temperature monitoring</t>
        </is>
      </c>
      <c r="H18" s="49" t="inlineStr">
        <is>
          <t>Budget polarimeter option</t>
        </is>
      </c>
      <c r="I18" s="49" t="inlineStr">
        <is>
          <t>Budget option</t>
        </is>
      </c>
      <c r="J18" s="49" t="n">
        <v>14000</v>
      </c>
      <c r="K18" s="49" t="n">
        <v>26000</v>
      </c>
      <c r="L18" s="49" t="inlineStr">
        <is>
          <t>Quote only</t>
        </is>
      </c>
      <c r="M18" s="49" t="inlineStr">
        <is>
          <t>Budget estimate including cell/tube, verification plate, installation and qualification</t>
        </is>
      </c>
      <c r="N18" s="34" t="inlineStr">
        <is>
          <t>https://rudolphresearch.com/products/polarimeters/autopol-i/</t>
        </is>
      </c>
      <c r="O18" s="34" t="inlineStr">
        <is>
          <t>https://rudolphresearch.com/products/polarimeters/autopol-ii/</t>
        </is>
      </c>
      <c r="P18" s="49" t="inlineStr">
        <is>
          <t>Economical food/starch polarimeter option. Require confirmation that the configured tube length, wavelength, temperature measurement and precision satisfy the current ISO 6493 procedure.</t>
        </is>
      </c>
      <c r="Q18" s="49" t="inlineStr"/>
      <c r="R18" s="49" t="inlineStr">
        <is>
          <t>Yes</t>
        </is>
      </c>
      <c r="S18" s="49" t="inlineStr"/>
      <c r="T18" s="49" t="inlineStr"/>
      <c r="U18" s="49" t="inlineStr">
        <is>
          <t>B</t>
        </is>
      </c>
      <c r="V18" s="49" t="inlineStr">
        <is>
          <t>PASS - exact method apparatus</t>
        </is>
      </c>
      <c r="W18" s="49" t="inlineStr">
        <is>
          <t>22.0 / ISO 6493 polarimetric starch</t>
        </is>
      </c>
      <c r="X18" s="49" t="inlineStr">
        <is>
          <t>Confirm method applicability to DDGS/yeast matrix before final purchase.</t>
        </is>
      </c>
    </row>
    <row r="19" ht="78" customHeight="1">
      <c r="A19" s="49" t="inlineStr">
        <is>
          <t>STARCH-G3</t>
        </is>
      </c>
      <c r="B19" s="49" t="inlineStr">
        <is>
          <t>Starch - Gafta polarimetric</t>
        </is>
      </c>
      <c r="C19" s="49" t="inlineStr">
        <is>
          <t>Total starch content under Gafta contracts</t>
        </is>
      </c>
      <c r="D19" s="49" t="inlineStr">
        <is>
          <t>Gafta Method 22.0 / ISO 6493 polarimetric method</t>
        </is>
      </c>
      <c r="E19" s="49" t="inlineStr">
        <is>
          <t>Gafta starch method</t>
        </is>
      </c>
      <c r="F19" s="49" t="inlineStr">
        <is>
          <t>SCHMIDT + HAENSCH</t>
        </is>
      </c>
      <c r="G19" s="49" t="inlineStr">
        <is>
          <t>UniPol V digital polarimeter, 589 nm, with temperature-sensing 200 mm tube</t>
        </is>
      </c>
      <c r="H19" s="49" t="inlineStr">
        <is>
          <t>Alternative food/starch option</t>
        </is>
      </c>
      <c r="I19" s="49" t="inlineStr">
        <is>
          <t>Alternative</t>
        </is>
      </c>
      <c r="J19" s="49" t="n">
        <v>18000</v>
      </c>
      <c r="K19" s="49" t="n">
        <v>32000</v>
      </c>
      <c r="L19" s="49" t="inlineStr">
        <is>
          <t>Quote only</t>
        </is>
      </c>
      <c r="M19" s="49" t="inlineStr">
        <is>
          <t>Budget estimate including tube, calibration/verification accessories, installation and qualification</t>
        </is>
      </c>
      <c r="N19" s="34" t="inlineStr">
        <is>
          <t>https://schmidt-haensch.com/product/unipol-v-digital-polarimeter/</t>
        </is>
      </c>
      <c r="O19" s="34" t="inlineStr">
        <is>
          <t>https://schmidt-haensch.com/wp-content/uploads/2024/08/UniPol-V-v1.0.pdf</t>
        </is>
      </c>
      <c r="P19" s="49" t="inlineStr">
        <is>
          <t>Designed for food and starch measurements. Purchase only with a written ISO 6493 method mapping and DDGS suitability review.</t>
        </is>
      </c>
      <c r="Q19" s="49" t="inlineStr"/>
      <c r="R19" s="49" t="inlineStr"/>
      <c r="S19" s="49" t="inlineStr">
        <is>
          <t>Yes</t>
        </is>
      </c>
      <c r="T19" s="49" t="inlineStr"/>
      <c r="U19" s="49" t="inlineStr">
        <is>
          <t>C</t>
        </is>
      </c>
      <c r="V19" s="49" t="inlineStr">
        <is>
          <t>PASS - exact method apparatus</t>
        </is>
      </c>
      <c r="W19" s="49" t="inlineStr">
        <is>
          <t>22.0 / ISO 6493 polarimetric starch</t>
        </is>
      </c>
      <c r="X19" s="49" t="inlineStr">
        <is>
          <t>Confirm method applicability to DDGS/yeast matrix before final purchase.</t>
        </is>
      </c>
    </row>
    <row r="20" ht="78" customHeight="1">
      <c r="A20" s="49" t="inlineStr">
        <is>
          <t>COLOR-01</t>
        </is>
      </c>
      <c r="B20" s="49" t="inlineStr">
        <is>
          <t>Color</t>
        </is>
      </c>
      <c r="C20" s="49" t="inlineStr">
        <is>
          <t>Hunter L Color</t>
        </is>
      </c>
      <c r="D20" s="49" t="inlineStr">
        <is>
          <t>Hunter Labs ColorFlex EZ method as named on customer COA</t>
        </is>
      </c>
      <c r="E20" s="49" t="inlineStr">
        <is>
          <t>No Gafta No.130 method listed; customer-agreed method</t>
        </is>
      </c>
      <c r="F20" s="49" t="inlineStr">
        <is>
          <t>HunterLab</t>
        </is>
      </c>
      <c r="G20" s="49" t="inlineStr">
        <is>
          <t>ColorFlex EZ 45/0 benchtop spectrophotometer</t>
        </is>
      </c>
      <c r="H20" s="49" t="inlineStr">
        <is>
          <t>Recommended exact COA match</t>
        </is>
      </c>
      <c r="I20" s="49" t="inlineStr">
        <is>
          <t>Launch purchase</t>
        </is>
      </c>
      <c r="J20" s="49" t="n">
        <v>10000</v>
      </c>
      <c r="K20" s="49" t="n">
        <v>16000</v>
      </c>
      <c r="L20" s="49" t="inlineStr">
        <is>
          <t>Quote/public distributor price not consistently shown</t>
        </is>
      </c>
      <c r="M20" s="49" t="inlineStr">
        <is>
          <t>Budget estimate based on current replacement pricing</t>
        </is>
      </c>
      <c r="N20" s="34" t="inlineStr">
        <is>
          <t>https://www.hunterlab.com/en/products/benchtop-spectrophotometers/colorflex-ez/</t>
        </is>
      </c>
      <c r="O20" s="34" t="inlineStr">
        <is>
          <t>https://www.hunterlab.com/en/products/benchtop-spectrophotometers/colorflex-ez/</t>
        </is>
      </c>
      <c r="P20" s="49" t="inlineStr">
        <is>
          <t>Exact match to COA method wording. Confirm cup/port geometry and sample presentation for DDGS.</t>
        </is>
      </c>
      <c r="Q20" s="49" t="inlineStr">
        <is>
          <t>Yes</t>
        </is>
      </c>
      <c r="R20" s="49" t="inlineStr">
        <is>
          <t>Yes</t>
        </is>
      </c>
      <c r="S20" s="49" t="inlineStr"/>
      <c r="T20" s="49" t="inlineStr"/>
      <c r="U20" s="49" t="inlineStr">
        <is>
          <t>A, B</t>
        </is>
      </c>
      <c r="V20" s="49" t="inlineStr">
        <is>
          <t>N/A - no applicable Gafta method listed</t>
        </is>
      </c>
      <c r="W20" s="49" t="inlineStr">
        <is>
          <t>Customer-agreed method / controlled calculation</t>
        </is>
      </c>
      <c r="X20" s="49" t="inlineStr">
        <is>
          <t>Permitted only because no applicable Gafta No.130 method is listed for this DDGS analyte; state the actual method on the report.</t>
        </is>
      </c>
    </row>
    <row r="21" ht="78" customHeight="1">
      <c r="A21" s="49" t="inlineStr">
        <is>
          <t>COLOR-02</t>
        </is>
      </c>
      <c r="B21" s="49" t="inlineStr">
        <is>
          <t>Color</t>
        </is>
      </c>
      <c r="C21" s="49" t="inlineStr">
        <is>
          <t>Hunter L Color</t>
        </is>
      </c>
      <c r="D21" s="49" t="inlineStr">
        <is>
          <t>Hunter Lab L*a*b*; method equivalence to ColorFlex EZ must be documented</t>
        </is>
      </c>
      <c r="E21" s="49" t="inlineStr">
        <is>
          <t>No Gafta No.130 method listed; customer-agreed method</t>
        </is>
      </c>
      <c r="F21" s="49" t="inlineStr">
        <is>
          <t>HunterLab</t>
        </is>
      </c>
      <c r="G21" s="49" t="inlineStr">
        <is>
          <t>ColorFlex L2</t>
        </is>
      </c>
      <c r="H21" s="49" t="inlineStr">
        <is>
          <t>Recommended new model</t>
        </is>
      </c>
      <c r="I21" s="49" t="inlineStr">
        <is>
          <t>Launch purchase / alternate to EZ</t>
        </is>
      </c>
      <c r="J21" s="49" t="n">
        <v>16843</v>
      </c>
      <c r="K21" s="49" t="n">
        <v>22000</v>
      </c>
      <c r="L21" s="49" t="inlineStr">
        <is>
          <t>Public price $16,842.50 from distributor</t>
        </is>
      </c>
      <c r="M21" s="49" t="inlineStr">
        <is>
          <t>Public price plus cups/qualification estimate</t>
        </is>
      </c>
      <c r="N21" s="34" t="inlineStr">
        <is>
          <t>https://www.hunterlab.com/en/products/benchtop-spectrophotometers/colorflex-l2/</t>
        </is>
      </c>
      <c r="O21" s="34" t="inlineStr">
        <is>
          <t>https://www.midlandsci.com/655590.html</t>
        </is>
      </c>
      <c r="P21" s="49" t="inlineStr">
        <is>
          <t>Newer HunterLab option. Best purchase if EZ is unavailable, but report method may need to say ColorFlex L2 or validated equivalent.</t>
        </is>
      </c>
      <c r="Q21" s="49" t="inlineStr"/>
      <c r="R21" s="49" t="inlineStr"/>
      <c r="S21" s="49" t="inlineStr">
        <is>
          <t>Yes</t>
        </is>
      </c>
      <c r="T21" s="49" t="inlineStr"/>
      <c r="U21" s="49" t="inlineStr">
        <is>
          <t>C</t>
        </is>
      </c>
      <c r="V21" s="49" t="inlineStr">
        <is>
          <t>N/A - no applicable Gafta method listed</t>
        </is>
      </c>
      <c r="W21" s="49" t="inlineStr">
        <is>
          <t>Customer-agreed method / controlled calculation</t>
        </is>
      </c>
      <c r="X21" s="49" t="inlineStr">
        <is>
          <t>Permitted only because no applicable Gafta No.130 method is listed for this DDGS analyte; state the actual method on the report.</t>
        </is>
      </c>
    </row>
    <row r="22" ht="78" customHeight="1">
      <c r="A22" s="49" t="inlineStr">
        <is>
          <t>COLOR-03</t>
        </is>
      </c>
      <c r="B22" s="49" t="inlineStr">
        <is>
          <t>Color</t>
        </is>
      </c>
      <c r="C22" s="49" t="inlineStr">
        <is>
          <t>General L*a*b* color only</t>
        </is>
      </c>
      <c r="D22" s="49" t="inlineStr">
        <is>
          <t>CIE L*a*b* colorimeter methods; not Hunter ColorFlex EZ</t>
        </is>
      </c>
      <c r="E22" s="49" t="inlineStr">
        <is>
          <t>No Gafta No.130 method listed; customer-agreed method only</t>
        </is>
      </c>
      <c r="F22" s="49" t="inlineStr">
        <is>
          <t>Konica Minolta</t>
        </is>
      </c>
      <c r="G22" s="49" t="inlineStr">
        <is>
          <t>CR-400 Chroma Meter</t>
        </is>
      </c>
      <c r="H22" s="49" t="inlineStr">
        <is>
          <t>Budget caution</t>
        </is>
      </c>
      <c r="I22" s="49" t="inlineStr">
        <is>
          <t>Defer</t>
        </is>
      </c>
      <c r="J22" s="49" t="n">
        <v>7000</v>
      </c>
      <c r="K22" s="49" t="n">
        <v>12000</v>
      </c>
      <c r="L22" s="49" t="inlineStr">
        <is>
          <t>Used/refurbished pricing can be much lower</t>
        </is>
      </c>
      <c r="M22" s="49" t="inlineStr">
        <is>
          <t>Budget estimate</t>
        </is>
      </c>
      <c r="N22" s="34" t="inlineStr">
        <is>
          <t>https://sensing.konicaminolta.us/us/products/cr-400-chroma-meter-colorimeter/</t>
        </is>
      </c>
      <c r="O22" s="34" t="inlineStr">
        <is>
          <t>https://sensing.konicaminolta.us/us/products/cr-400-chroma-meter-colorimeter/</t>
        </is>
      </c>
      <c r="P22" s="49" t="inlineStr">
        <is>
          <t>Do not use for Hunter L contractual result unless customer accepts method/platform change.</t>
        </is>
      </c>
      <c r="Q22" s="49" t="inlineStr"/>
      <c r="R22" s="49" t="inlineStr"/>
      <c r="S22" s="49" t="inlineStr"/>
      <c r="T22" s="49" t="inlineStr"/>
      <c r="U22" s="49" t="inlineStr"/>
      <c r="V22" s="49" t="inlineStr">
        <is>
          <t>N/A - no applicable Gafta method listed</t>
        </is>
      </c>
      <c r="W22" s="49" t="inlineStr">
        <is>
          <t>Customer-agreed method / controlled calculation</t>
        </is>
      </c>
      <c r="X22" s="49" t="inlineStr">
        <is>
          <t>Permitted only because no applicable Gafta No.130 method is listed for this DDGS analyte; state the actual method on the report.</t>
        </is>
      </c>
    </row>
    <row r="23" ht="78" customHeight="1">
      <c r="A23" s="49" t="inlineStr">
        <is>
          <t>DENS-01</t>
        </is>
      </c>
      <c r="B23" s="49" t="inlineStr">
        <is>
          <t>Density</t>
        </is>
      </c>
      <c r="C23" s="49" t="inlineStr">
        <is>
          <t>Bulk density untapped; bulk density tapped</t>
        </is>
      </c>
      <c r="D23" s="49" t="inlineStr">
        <is>
          <t>USP &lt;616&gt; methods 1, 2, 3 depending apparatus/cylinders</t>
        </is>
      </c>
      <c r="E23" s="49" t="inlineStr">
        <is>
          <t>No applicable Gafta DDGS density method listed; customer-agreed USP method</t>
        </is>
      </c>
      <c r="F23" s="49" t="inlineStr">
        <is>
          <t>Copley Scientific</t>
        </is>
      </c>
      <c r="G23" s="49" t="inlineStr">
        <is>
          <t>JV 120i or JV 220i tapped density tester + cylinders</t>
        </is>
      </c>
      <c r="H23" s="49" t="inlineStr">
        <is>
          <t>Recommended</t>
        </is>
      </c>
      <c r="I23" s="49" t="inlineStr">
        <is>
          <t>Launch purchase</t>
        </is>
      </c>
      <c r="J23" s="49" t="n">
        <v>8000</v>
      </c>
      <c r="K23" s="49" t="n">
        <v>16000</v>
      </c>
      <c r="L23" s="49" t="inlineStr">
        <is>
          <t>Quote only</t>
        </is>
      </c>
      <c r="M23" s="49" t="inlineStr">
        <is>
          <t>Budget estimate</t>
        </is>
      </c>
      <c r="N23" s="34" t="inlineStr">
        <is>
          <t>https://www.copleyscientific.com/pharmaceutical-testing/powder-testing/tapped-density-jvi-series/</t>
        </is>
      </c>
      <c r="O23" s="34" t="inlineStr">
        <is>
          <t>https://www.gardco.com/product/tap-density-testers/01tTr00000BbcbTIAR</t>
        </is>
      </c>
      <c r="P23" s="49" t="inlineStr">
        <is>
          <t>Best balance for USP &lt;616&gt; tapped density. Also buy suitable cylinders and a manual bulk density setup.</t>
        </is>
      </c>
      <c r="Q23" s="49" t="inlineStr">
        <is>
          <t>Yes</t>
        </is>
      </c>
      <c r="R23" s="49" t="inlineStr">
        <is>
          <t>Yes</t>
        </is>
      </c>
      <c r="S23" s="49" t="inlineStr"/>
      <c r="T23" s="49" t="inlineStr"/>
      <c r="U23" s="49" t="inlineStr">
        <is>
          <t>A, B</t>
        </is>
      </c>
      <c r="V23" s="49" t="inlineStr">
        <is>
          <t>N/A - no applicable Gafta method listed</t>
        </is>
      </c>
      <c r="W23" s="49" t="inlineStr">
        <is>
          <t>Customer-agreed method / controlled calculation</t>
        </is>
      </c>
      <c r="X23" s="49" t="inlineStr">
        <is>
          <t>Permitted only because no applicable Gafta No.130 method is listed for this DDGS analyte; state the actual method on the report.</t>
        </is>
      </c>
    </row>
    <row r="24" ht="78" customHeight="1">
      <c r="A24" s="49" t="inlineStr">
        <is>
          <t>DENS-02</t>
        </is>
      </c>
      <c r="B24" s="49" t="inlineStr">
        <is>
          <t>Density</t>
        </is>
      </c>
      <c r="C24" s="49" t="inlineStr">
        <is>
          <t>Bulk density tapped; Hausner/compressibility if needed</t>
        </is>
      </c>
      <c r="D24" s="49" t="inlineStr">
        <is>
          <t>USP/EP compliant tapped density</t>
        </is>
      </c>
      <c r="E24" s="49" t="inlineStr">
        <is>
          <t>No applicable Gafta DDGS density method listed; customer-agreed USP method</t>
        </is>
      </c>
      <c r="F24" s="49" t="inlineStr">
        <is>
          <t>ERWEKA</t>
        </is>
      </c>
      <c r="G24" s="49" t="inlineStr">
        <is>
          <t>SVM II tapped density tester</t>
        </is>
      </c>
      <c r="H24" s="49" t="inlineStr">
        <is>
          <t>Premium alternative</t>
        </is>
      </c>
      <c r="I24" s="49" t="inlineStr">
        <is>
          <t>Alternative to Copley</t>
        </is>
      </c>
      <c r="J24" s="49" t="n">
        <v>12000</v>
      </c>
      <c r="K24" s="49" t="n">
        <v>22000</v>
      </c>
      <c r="L24" s="49" t="inlineStr">
        <is>
          <t>Quote only</t>
        </is>
      </c>
      <c r="M24" s="49" t="inlineStr">
        <is>
          <t>Budget estimate</t>
        </is>
      </c>
      <c r="N24" s="34" t="inlineStr">
        <is>
          <t>https://www.erweka.com/products/physical-testers/tapped-density-tester/svm-ii/</t>
        </is>
      </c>
      <c r="O24" s="34" t="inlineStr">
        <is>
          <t>https://www.erweka.com/products/physical-testers/tapped-density-tester/svm-ii/</t>
        </is>
      </c>
      <c r="P24" s="49" t="inlineStr">
        <is>
          <t>Very good instrument but likely higher capital than Copley. Good if pharma-style workflow/reporting is valued.</t>
        </is>
      </c>
      <c r="Q24" s="49" t="inlineStr"/>
      <c r="R24" s="49" t="inlineStr"/>
      <c r="S24" s="49" t="inlineStr">
        <is>
          <t>Yes</t>
        </is>
      </c>
      <c r="T24" s="49" t="inlineStr"/>
      <c r="U24" s="49" t="inlineStr">
        <is>
          <t>C</t>
        </is>
      </c>
      <c r="V24" s="49" t="inlineStr">
        <is>
          <t>N/A - no applicable Gafta method listed</t>
        </is>
      </c>
      <c r="W24" s="49" t="inlineStr">
        <is>
          <t>Customer-agreed method / controlled calculation</t>
        </is>
      </c>
      <c r="X24" s="49" t="inlineStr">
        <is>
          <t>Permitted only because no applicable Gafta No.130 method is listed for this DDGS analyte; state the actual method on the report.</t>
        </is>
      </c>
    </row>
    <row r="25" ht="78" customHeight="1">
      <c r="A25" s="49" t="inlineStr">
        <is>
          <t>DENS-03</t>
        </is>
      </c>
      <c r="B25" s="49" t="inlineStr">
        <is>
          <t>Density</t>
        </is>
      </c>
      <c r="C25" s="49" t="inlineStr">
        <is>
          <t>Bulk density untapped; manual apparent density</t>
        </is>
      </c>
      <c r="D25" s="49" t="inlineStr">
        <is>
          <t>USP &lt;616&gt; Method 2 Scott volumeter; manual bulk density support</t>
        </is>
      </c>
      <c r="E25" s="49" t="inlineStr">
        <is>
          <t>No applicable Gafta DDGS density method listed; customer-agreed USP method</t>
        </is>
      </c>
      <c r="F25" s="49" t="inlineStr">
        <is>
          <t>LABULK / Gardco / Paul N. Gardner</t>
        </is>
      </c>
      <c r="G25" s="49" t="inlineStr">
        <is>
          <t>Scott Volumeter + graduated cylinders</t>
        </is>
      </c>
      <c r="H25" s="49" t="inlineStr">
        <is>
          <t>Budget option</t>
        </is>
      </c>
      <c r="I25" s="49" t="inlineStr">
        <is>
          <t>Budget option / supplemental</t>
        </is>
      </c>
      <c r="J25" s="49" t="n">
        <v>500</v>
      </c>
      <c r="K25" s="49" t="n">
        <v>3000</v>
      </c>
      <c r="L25" s="49" t="inlineStr">
        <is>
          <t>LABULK Scott volumeter public price $399 before shipping/accessories</t>
        </is>
      </c>
      <c r="M25" s="49" t="inlineStr">
        <is>
          <t>Public price plus cylinders/accessories</t>
        </is>
      </c>
      <c r="N25" s="34" t="inlineStr">
        <is>
          <t>https://www.labulk.com/labulk-0302-scott-volumeter-version-ups-616/</t>
        </is>
      </c>
      <c r="O25" s="34" t="inlineStr">
        <is>
          <t>https://www.labulk.com/labulk-0302-scott-volumeter-version-ups-616/</t>
        </is>
      </c>
      <c r="P25" s="49" t="inlineStr">
        <is>
          <t>Very low capital for bulk density. Does not fully replace automated tapped-density tester for USP &lt;616&gt; tapped result.</t>
        </is>
      </c>
      <c r="Q25" s="49" t="inlineStr"/>
      <c r="R25" s="49" t="inlineStr"/>
      <c r="S25" s="49" t="inlineStr"/>
      <c r="T25" s="49" t="inlineStr"/>
      <c r="U25" s="49" t="inlineStr"/>
      <c r="V25" s="49" t="inlineStr">
        <is>
          <t>N/A - no applicable Gafta method listed</t>
        </is>
      </c>
      <c r="W25" s="49" t="inlineStr">
        <is>
          <t>Customer-agreed method / controlled calculation</t>
        </is>
      </c>
      <c r="X25" s="49" t="inlineStr">
        <is>
          <t>Permitted only because no applicable Gafta No.130 method is listed for this DDGS analyte; state the actual method on the report.</t>
        </is>
      </c>
    </row>
    <row r="26" ht="78" customHeight="1">
      <c r="A26" s="49" t="inlineStr">
        <is>
          <t>AA-01</t>
        </is>
      </c>
      <c r="B26" s="49" t="inlineStr">
        <is>
          <t>Amino acids</t>
        </is>
      </c>
      <c r="C26" s="49" t="inlineStr">
        <is>
          <t>Full amino acid profile: Cys, Met, Trp, Ala, Arg, Asp, Glu, Gly, His, Ile, Lys, Leu, Phe, Pro, Ser, Thr, Tyr, Val; sum of amino acids</t>
        </is>
      </c>
      <c r="D26" s="49" t="inlineStr">
        <is>
          <t>AOAC 994.12 and AOAC 988.15 method alignment to map; classical ion-exchange/ninhydrin architecture</t>
        </is>
      </c>
      <c r="E26" s="49" t="inlineStr">
        <is>
          <t>No Gafta No.130 amino-acid method listed; customer-agreed method</t>
        </is>
      </c>
      <c r="F26" s="49" t="inlineStr">
        <is>
          <t>Hitachi High-Tech</t>
        </is>
      </c>
      <c r="G26" s="49" t="inlineStr">
        <is>
          <t>LA8080 AminoSAAYA amino acid analyzer</t>
        </is>
      </c>
      <c r="H26" s="49" t="inlineStr">
        <is>
          <t>Recommended compliance</t>
        </is>
      </c>
      <c r="I26" s="49" t="inlineStr">
        <is>
          <t>Launch if volume supports</t>
        </is>
      </c>
      <c r="J26" s="49" t="n">
        <v>125000</v>
      </c>
      <c r="K26" s="49" t="n">
        <v>175000</v>
      </c>
      <c r="L26" s="49" t="inlineStr">
        <is>
          <t>Quote only</t>
        </is>
      </c>
      <c r="M26" s="49" t="inlineStr">
        <is>
          <t>Budget estimate including installation/training/startup reagents</t>
        </is>
      </c>
      <c r="N26" s="34" t="inlineStr">
        <is>
          <t>https://www.hitachi-hightech.com/global/en/products/analytical-systems/hplc/amino-acid-analyzers/la8080.html</t>
        </is>
      </c>
      <c r="O26" s="34" t="inlineStr">
        <is>
          <t>https://www.hitachi-hightech.com/global/en/products/analytical-systems/hplc/amino-acid-analyzers/la8080.html</t>
        </is>
      </c>
      <c r="P26" s="49" t="inlineStr">
        <is>
          <t>Lowest method-recognition risk for feed amino acids. Separate hydrolysis streams still required for sulfur AAs and tryptophan.</t>
        </is>
      </c>
      <c r="Q26" s="49" t="inlineStr"/>
      <c r="R26" s="49" t="inlineStr"/>
      <c r="S26" s="49" t="inlineStr">
        <is>
          <t>Yes</t>
        </is>
      </c>
      <c r="T26" s="49" t="inlineStr"/>
      <c r="U26" s="49" t="inlineStr">
        <is>
          <t>C</t>
        </is>
      </c>
      <c r="V26" s="49" t="inlineStr">
        <is>
          <t>N/A - no applicable Gafta method listed</t>
        </is>
      </c>
      <c r="W26" s="49" t="inlineStr">
        <is>
          <t>Customer-agreed method / controlled calculation</t>
        </is>
      </c>
      <c r="X26" s="49" t="inlineStr">
        <is>
          <t>Permitted only because no applicable Gafta No.130 method is listed for this DDGS analyte; state the actual method on the report.</t>
        </is>
      </c>
    </row>
    <row r="27" ht="78" customHeight="1">
      <c r="A27" s="49" t="inlineStr">
        <is>
          <t>AA-02</t>
        </is>
      </c>
      <c r="B27" s="49" t="inlineStr">
        <is>
          <t>Amino acids</t>
        </is>
      </c>
      <c r="C27" s="49" t="inlineStr">
        <is>
          <t>Full amino acid profile; sum calculation</t>
        </is>
      </c>
      <c r="D27" s="49" t="inlineStr">
        <is>
          <t>Cation exchange chromatography with post-column ninhydrin for food/feedstuff hydrolysates</t>
        </is>
      </c>
      <c r="E27" s="49" t="inlineStr">
        <is>
          <t>No Gafta No.130 amino-acid method listed; customer-agreed method</t>
        </is>
      </c>
      <c r="F27" s="49" t="inlineStr">
        <is>
          <t>Sykam</t>
        </is>
      </c>
      <c r="G27" s="49" t="inlineStr">
        <is>
          <t>S 433 Amino Acid Analyzer</t>
        </is>
      </c>
      <c r="H27" s="49" t="inlineStr">
        <is>
          <t>Budget dedicated analyzer</t>
        </is>
      </c>
      <c r="I27" s="49" t="inlineStr">
        <is>
          <t>Budget option</t>
        </is>
      </c>
      <c r="J27" s="49" t="n">
        <v>90000</v>
      </c>
      <c r="K27" s="49" t="n">
        <v>135000</v>
      </c>
      <c r="L27" s="49" t="inlineStr">
        <is>
          <t>Quote only</t>
        </is>
      </c>
      <c r="M27" s="49" t="inlineStr">
        <is>
          <t>Budget estimate</t>
        </is>
      </c>
      <c r="N27" s="34" t="inlineStr">
        <is>
          <t>https://sykam.com/product/amino-acid-analyzers/s-433-amino-acid-analyzer/</t>
        </is>
      </c>
      <c r="O27" s="34" t="inlineStr">
        <is>
          <t>https://sykam.com/products/amino-acid-analyzers/</t>
        </is>
      </c>
      <c r="P27" s="49" t="inlineStr">
        <is>
          <t>Potentially lower capital than Hitachi. Require U.S. service references and feed hydrolysate application support before purchase.</t>
        </is>
      </c>
      <c r="Q27" s="49" t="inlineStr">
        <is>
          <t>Yes</t>
        </is>
      </c>
      <c r="R27" s="49" t="inlineStr">
        <is>
          <t>Yes</t>
        </is>
      </c>
      <c r="S27" s="49" t="inlineStr"/>
      <c r="T27" s="49" t="inlineStr"/>
      <c r="U27" s="49" t="inlineStr">
        <is>
          <t>A, B</t>
        </is>
      </c>
      <c r="V27" s="49" t="inlineStr">
        <is>
          <t>N/A - no applicable Gafta method listed</t>
        </is>
      </c>
      <c r="W27" s="49" t="inlineStr">
        <is>
          <t>Customer-agreed method / controlled calculation</t>
        </is>
      </c>
      <c r="X27" s="49" t="inlineStr">
        <is>
          <t>Permitted only because no applicable Gafta No.130 method is listed for this DDGS analyte; state the actual method on the report.</t>
        </is>
      </c>
    </row>
    <row r="28" ht="78" customHeight="1">
      <c r="A28" s="49" t="inlineStr">
        <is>
          <t>AA-03</t>
        </is>
      </c>
      <c r="B28" s="49" t="inlineStr">
        <is>
          <t>Amino acids</t>
        </is>
      </c>
      <c r="C28" s="49" t="inlineStr">
        <is>
          <t>Full amino acid profile; sum calculation</t>
        </is>
      </c>
      <c r="D28" s="49" t="inlineStr">
        <is>
          <t>Post-column fluorescence derivatization with OPA/N-acetylcysteine; cation-exchange Na model for hydrolysates</t>
        </is>
      </c>
      <c r="E28" s="49" t="inlineStr">
        <is>
          <t>No Gafta No.130 amino-acid method listed; customer-agreed method</t>
        </is>
      </c>
      <c r="F28" s="49" t="inlineStr">
        <is>
          <t>Shimadzu</t>
        </is>
      </c>
      <c r="G28" s="49" t="inlineStr">
        <is>
          <t>Nexera Post-Column Amino Acid Analysis System, Na model</t>
        </is>
      </c>
      <c r="H28" s="49" t="inlineStr">
        <is>
          <t>Recommended Shimadzu</t>
        </is>
      </c>
      <c r="I28" s="49" t="inlineStr">
        <is>
          <t>Launch if Shimadzu standardization preferred</t>
        </is>
      </c>
      <c r="J28" s="49" t="n">
        <v>120000</v>
      </c>
      <c r="K28" s="49" t="n">
        <v>170000</v>
      </c>
      <c r="L28" s="49" t="inlineStr">
        <is>
          <t>Quote only</t>
        </is>
      </c>
      <c r="M28" s="49" t="inlineStr">
        <is>
          <t>Budget estimate including startup kit</t>
        </is>
      </c>
      <c r="N28" s="34" t="inlineStr">
        <is>
          <t>https://www.shimadzu.com/an/products/liquid-chromatography/hplc-system/amino-acid-analysis-system/index.html</t>
        </is>
      </c>
      <c r="O28" s="34" t="inlineStr">
        <is>
          <t>https://www.shimadzu.com/an/products/liquid-chromatography/hplc-system/amino-acid-analysis-system/index.html</t>
        </is>
      </c>
      <c r="P28" s="49" t="inlineStr">
        <is>
          <t>Best Shimadzu dedicated option. More method-validation discussion than ninhydrin systems, but good support/software alignment.</t>
        </is>
      </c>
      <c r="Q28" s="49" t="inlineStr"/>
      <c r="R28" s="49" t="inlineStr"/>
      <c r="S28" s="49" t="inlineStr"/>
      <c r="T28" s="49" t="inlineStr"/>
      <c r="U28" s="49" t="inlineStr"/>
      <c r="V28" s="49" t="inlineStr">
        <is>
          <t>N/A - no applicable Gafta method listed</t>
        </is>
      </c>
      <c r="W28" s="49" t="inlineStr">
        <is>
          <t>Customer-agreed method / controlled calculation</t>
        </is>
      </c>
      <c r="X28" s="49" t="inlineStr">
        <is>
          <t>Permitted only because no applicable Gafta No.130 method is listed for this DDGS analyte; state the actual method on the report.</t>
        </is>
      </c>
    </row>
    <row r="29" ht="78" customHeight="1">
      <c r="A29" s="49" t="inlineStr">
        <is>
          <t>AA-04</t>
        </is>
      </c>
      <c r="B29" s="49" t="inlineStr">
        <is>
          <t>Amino acids</t>
        </is>
      </c>
      <c r="C29" s="49" t="inlineStr">
        <is>
          <t>Full amino acid profile if validated; Trp separate alkaline prep; sulfur AAs require oxidation pathway</t>
        </is>
      </c>
      <c r="D29" s="49" t="inlineStr">
        <is>
          <t>Microwave hydrolysis + OPA/FMOC pre-column UHPLC-FLD; validated alternate method</t>
        </is>
      </c>
      <c r="E29" s="49" t="inlineStr">
        <is>
          <t>No Gafta No.130 amino-acid method listed; customer-agreed method</t>
        </is>
      </c>
      <c r="F29" s="49" t="inlineStr">
        <is>
          <t>Shimadzu</t>
        </is>
      </c>
      <c r="G29" s="49" t="inlineStr">
        <is>
          <t>Nexera LC-40 X3 + SIL-40C X3 autosampler pretreatment + RF detector</t>
        </is>
      </c>
      <c r="H29" s="49" t="inlineStr">
        <is>
          <t>Highest throughput Shimadzu</t>
        </is>
      </c>
      <c r="I29" s="49" t="inlineStr">
        <is>
          <t>Alternative to dedicated analyzer</t>
        </is>
      </c>
      <c r="J29" s="49" t="n">
        <v>95000</v>
      </c>
      <c r="K29" s="49" t="n">
        <v>140000</v>
      </c>
      <c r="L29" s="49" t="inlineStr">
        <is>
          <t>Quote only</t>
        </is>
      </c>
      <c r="M29" s="49" t="inlineStr">
        <is>
          <t>Budget estimate</t>
        </is>
      </c>
      <c r="N29" s="34" t="inlineStr">
        <is>
          <t>https://www.shimadzu.com/an/sites/shimadzu.com.an/files/pim/pim_document_file/applications/application_note/13742/apl220024.pdf</t>
        </is>
      </c>
      <c r="O29" s="34" t="inlineStr">
        <is>
          <t>https://www.shimadzu.com/an/sites/shimadzu.com.an/files/pim/pim_document_file/applications/application_note/13742/apl220024.pdf</t>
        </is>
      </c>
      <c r="P29" s="49" t="inlineStr">
        <is>
          <t>Fastest option; bigger validation burden. Since mycotoxins are on LC-MS/MS, this HPLC can be dedicated to amino acids.</t>
        </is>
      </c>
      <c r="Q29" s="49" t="inlineStr"/>
      <c r="R29" s="49" t="inlineStr"/>
      <c r="S29" s="49" t="inlineStr"/>
      <c r="T29" s="49" t="inlineStr"/>
      <c r="U29" s="49" t="inlineStr"/>
      <c r="V29" s="49" t="inlineStr">
        <is>
          <t>N/A - no applicable Gafta method listed</t>
        </is>
      </c>
      <c r="W29" s="49" t="inlineStr">
        <is>
          <t>Customer-agreed method / controlled calculation</t>
        </is>
      </c>
      <c r="X29" s="49" t="inlineStr">
        <is>
          <t>Permitted only because no applicable Gafta No.130 method is listed for this DDGS analyte; state the actual method on the report.</t>
        </is>
      </c>
    </row>
    <row r="30" ht="78" customHeight="1">
      <c r="A30" s="49" t="inlineStr">
        <is>
          <t>AA-PREP-01</t>
        </is>
      </c>
      <c r="B30" s="49" t="inlineStr">
        <is>
          <t>Amino acid preparation</t>
        </is>
      </c>
      <c r="C30" s="49" t="inlineStr">
        <is>
          <t>All amino acids; separate prep for tryptophan and sulfur amino acids</t>
        </is>
      </c>
      <c r="D30" s="49" t="inlineStr">
        <is>
          <t>Conventional hydrolysis reference plus validated microwave hydrolysis; AOAC 994.12/988.15 mapping required</t>
        </is>
      </c>
      <c r="E30" s="49" t="inlineStr">
        <is>
          <t>No Gafta No.130 amino-acid method listed; customer-agreed method</t>
        </is>
      </c>
      <c r="F30" s="49" t="inlineStr">
        <is>
          <t>Existing Anton Paar + accessories</t>
        </is>
      </c>
      <c r="G30" s="49" t="inlineStr">
        <is>
          <t>Existing Multiwave 5000 with dedicated HCl/alkaline vessel sets; nitrogen evaporator; hydrolysis block</t>
        </is>
      </c>
      <c r="H30" s="49" t="inlineStr">
        <is>
          <t>Use existing + accessories</t>
        </is>
      </c>
      <c r="I30" s="49" t="inlineStr">
        <is>
          <t>Launch purchase accessories</t>
        </is>
      </c>
      <c r="J30" s="49" t="n">
        <v>30000</v>
      </c>
      <c r="K30" s="49" t="n">
        <v>68000</v>
      </c>
      <c r="L30" s="49" t="inlineStr">
        <is>
          <t>Owned microwave; accessories quote required</t>
        </is>
      </c>
      <c r="M30" s="49" t="inlineStr">
        <is>
          <t>Accessory and preparation equipment estimate</t>
        </is>
      </c>
      <c r="N30" s="49" t="inlineStr">
        <is>
          <t>User provided - existing Anton Paar Multiwave 5000</t>
        </is>
      </c>
      <c r="O30" s="34" t="inlineStr">
        <is>
          <t>https://www.shimadzu.com/an/sites/shimadzu.com.an/files/pim/pim_document_file/applications/application_note/13742/apl220024.pdf</t>
        </is>
      </c>
      <c r="P30" s="49" t="inlineStr">
        <is>
          <t>Do not buy a second microwave yet. Buy dedicated vessels and a reference hydrolysis setup. Confirm rotor/seal compatibility for hot HCl/NaOH.</t>
        </is>
      </c>
      <c r="Q30" s="49" t="inlineStr">
        <is>
          <t>Yes</t>
        </is>
      </c>
      <c r="R30" s="49" t="inlineStr">
        <is>
          <t>Yes</t>
        </is>
      </c>
      <c r="S30" s="49" t="inlineStr">
        <is>
          <t>Yes</t>
        </is>
      </c>
      <c r="T30" s="49" t="inlineStr"/>
      <c r="U30" s="49" t="inlineStr">
        <is>
          <t>A, B, C</t>
        </is>
      </c>
      <c r="V30" s="49" t="inlineStr">
        <is>
          <t>N/A - no applicable Gafta method listed</t>
        </is>
      </c>
      <c r="W30" s="49" t="inlineStr">
        <is>
          <t>Customer-agreed method / controlled calculation</t>
        </is>
      </c>
      <c r="X30" s="49" t="inlineStr">
        <is>
          <t>Permitted only because no applicable Gafta No.130 method is listed for this DDGS analyte; state the actual method on the report.</t>
        </is>
      </c>
    </row>
    <row r="31" ht="78" customHeight="1">
      <c r="A31" s="49" t="inlineStr">
        <is>
          <t>PREP-01</t>
        </is>
      </c>
      <c r="B31" s="49" t="inlineStr">
        <is>
          <t>Sample preparation</t>
        </is>
      </c>
      <c r="C31" s="49" t="inlineStr">
        <is>
          <t>All DDGS tests; especially mycotoxins and Gafta sample prep</t>
        </is>
      </c>
      <c r="D31" s="49" t="inlineStr">
        <is>
          <t>Gafta Method 1.0 preparation of the sample for analysis</t>
        </is>
      </c>
      <c r="E31" s="49" t="inlineStr">
        <is>
          <t>Gafta-listed sample preparation support</t>
        </is>
      </c>
      <c r="F31" s="49" t="inlineStr">
        <is>
          <t>FRITSCH</t>
        </is>
      </c>
      <c r="G31" s="49" t="inlineStr">
        <is>
          <t>PULVERISETTE 19 low-speed cutting mill, 50-700 rpm, 2.80 mm screen</t>
        </is>
      </c>
      <c r="H31" s="49" t="inlineStr">
        <is>
          <t>Recommended primary mill</t>
        </is>
      </c>
      <c r="I31" s="49" t="inlineStr">
        <is>
          <t>Launch purchase</t>
        </is>
      </c>
      <c r="J31" s="49" t="n">
        <v>32000</v>
      </c>
      <c r="K31" s="49" t="n">
        <v>45000</v>
      </c>
      <c r="L31" s="49" t="inlineStr">
        <is>
          <t>Quote only</t>
        </is>
      </c>
      <c r="M31" s="49" t="inlineStr">
        <is>
          <t>Budget estimate configured with screens/cyclone/spares</t>
        </is>
      </c>
      <c r="N31" s="34" t="inlineStr">
        <is>
          <t>https://www.fritsch-international.com/sample-preparation/milling/cutting-mills/details/product/pulverisette-19-50-700-rpm/</t>
        </is>
      </c>
      <c r="O31" s="34" t="inlineStr">
        <is>
          <t>https://www.fritsch-international.com/sample-preparation/milling/cutting-mills/details/product/pulverisette-19-50-700-rpm/</t>
        </is>
      </c>
      <c r="P31" s="49" t="inlineStr">
        <is>
          <t>Best first-stage reduction for larger DDGS lots with less heating. Verify moisture change and trace-metal contamination.</t>
        </is>
      </c>
      <c r="Q31" s="49" t="inlineStr">
        <is>
          <t>Yes</t>
        </is>
      </c>
      <c r="R31" s="49" t="inlineStr">
        <is>
          <t>Yes</t>
        </is>
      </c>
      <c r="S31" s="49" t="inlineStr">
        <is>
          <t>Yes</t>
        </is>
      </c>
      <c r="T31" s="49" t="inlineStr">
        <is>
          <t>Yes</t>
        </is>
      </c>
      <c r="U31" s="49" t="inlineStr">
        <is>
          <t>A, B, C, D</t>
        </is>
      </c>
      <c r="V31" s="49" t="inlineStr">
        <is>
          <t>PASS - Gafta sample-preparation support</t>
        </is>
      </c>
      <c r="W31" s="49" t="inlineStr">
        <is>
          <t>1.0 Preparation of the Sample for Analysis</t>
        </is>
      </c>
      <c r="X31" s="49" t="inlineStr">
        <is>
          <t>Final equipment and SOP must satisfy Gafta Method 1.0 requirements.</t>
        </is>
      </c>
    </row>
    <row r="32" ht="78" customHeight="1">
      <c r="A32" s="49" t="inlineStr">
        <is>
          <t>PREP-02</t>
        </is>
      </c>
      <c r="B32" s="49" t="inlineStr">
        <is>
          <t>Sample preparation</t>
        </is>
      </c>
      <c r="C32" s="49" t="inlineStr">
        <is>
          <t>Small batches; high-fat/fibrous sample prep</t>
        </is>
      </c>
      <c r="D32" s="49" t="inlineStr">
        <is>
          <t>General reference/NIR sample prep; not full Gafta batch-size solution by itself</t>
        </is>
      </c>
      <c r="E32" s="49" t="inlineStr">
        <is>
          <t>Supplemental only; cannot replace the Gafta Method 1.0 primary batch preparation system</t>
        </is>
      </c>
      <c r="F32" s="49" t="inlineStr">
        <is>
          <t>FOSS</t>
        </is>
      </c>
      <c r="G32" s="49" t="inlineStr">
        <is>
          <t>KN 295 Knifetec</t>
        </is>
      </c>
      <c r="H32" s="49" t="inlineStr">
        <is>
          <t>FOSS budget/supplemental</t>
        </is>
      </c>
      <c r="I32" s="49" t="inlineStr">
        <is>
          <t>Optional</t>
        </is>
      </c>
      <c r="J32" s="49" t="n">
        <v>12000</v>
      </c>
      <c r="K32" s="49" t="n">
        <v>25000</v>
      </c>
      <c r="L32" s="49" t="inlineStr">
        <is>
          <t>Quote only</t>
        </is>
      </c>
      <c r="M32" s="49" t="inlineStr">
        <is>
          <t>Budget estimate</t>
        </is>
      </c>
      <c r="N32" s="34" t="inlineStr">
        <is>
          <t>https://www.fossanalytics.com/en/products/kn-295-knifetec</t>
        </is>
      </c>
      <c r="O32" s="34" t="inlineStr">
        <is>
          <t>https://www.fossanalytics.com/en/products/kn-295-knifetec</t>
        </is>
      </c>
      <c r="P32" s="49" t="inlineStr">
        <is>
          <t>Useful supplemental FOSS mill for high-fat/fibrous samples, but sample volume is limited. Not a replacement for a primary mill for 500 g to 1500 g prepared lots.</t>
        </is>
      </c>
      <c r="Q32" s="49" t="inlineStr"/>
      <c r="R32" s="49" t="inlineStr"/>
      <c r="S32" s="49" t="inlineStr"/>
      <c r="T32" s="49" t="inlineStr"/>
      <c r="U32" s="49" t="inlineStr"/>
      <c r="V32" s="49" t="inlineStr">
        <is>
          <t>SUPPLEMENTAL ONLY</t>
        </is>
      </c>
      <c r="W32" s="49" t="inlineStr">
        <is>
          <t>1.0 Preparation of the Sample for Analysis</t>
        </is>
      </c>
      <c r="X32" s="49" t="inlineStr">
        <is>
          <t>Small-capacity mill cannot serve as the sole Gafta preparation system.</t>
        </is>
      </c>
    </row>
    <row r="33" ht="78" customHeight="1">
      <c r="A33" s="49" t="inlineStr">
        <is>
          <t>PREP-03</t>
        </is>
      </c>
      <c r="B33" s="49" t="inlineStr">
        <is>
          <t>Sample preparation</t>
        </is>
      </c>
      <c r="C33" s="49" t="inlineStr">
        <is>
          <t>All tests requiring 1.00 mm final grind</t>
        </is>
      </c>
      <c r="D33" s="49" t="inlineStr">
        <is>
          <t>Gafta Method 1.0 final grind to required particle size</t>
        </is>
      </c>
      <c r="E33" s="49" t="inlineStr">
        <is>
          <t>Gafta-listed sample preparation support</t>
        </is>
      </c>
      <c r="F33" s="49" t="inlineStr">
        <is>
          <t>RETSCH</t>
        </is>
      </c>
      <c r="G33" s="49" t="inlineStr">
        <is>
          <t>ZM 300 ultra centrifugal mill, 1.00 mm ring sieve</t>
        </is>
      </c>
      <c r="H33" s="49" t="inlineStr">
        <is>
          <t>Recommended fine mill</t>
        </is>
      </c>
      <c r="I33" s="49" t="inlineStr">
        <is>
          <t>Launch purchase</t>
        </is>
      </c>
      <c r="J33" s="49" t="n">
        <v>22000</v>
      </c>
      <c r="K33" s="49" t="n">
        <v>32000</v>
      </c>
      <c r="L33" s="49" t="inlineStr">
        <is>
          <t>Public base price $16,271.55; configured cost higher</t>
        </is>
      </c>
      <c r="M33" s="49" t="inlineStr">
        <is>
          <t>Public base price plus rotor, sieve, cassette, cyclone/feeder, spares</t>
        </is>
      </c>
      <c r="N33" s="34" t="inlineStr">
        <is>
          <t>https://www.retsch.com/products/milling/rotor-mills/zm-300/</t>
        </is>
      </c>
      <c r="O33" s="34" t="inlineStr">
        <is>
          <t>https://certifiedmtp.com/retsch-zm-300-ultra-centrifugal-mill/</t>
        </is>
      </c>
      <c r="P33" s="49" t="inlineStr">
        <is>
          <t>Best flexible fine mill. Buy 1.00 mm screen and spare; consider mineral-analysis contact set.</t>
        </is>
      </c>
      <c r="Q33" s="49" t="inlineStr">
        <is>
          <t>Yes</t>
        </is>
      </c>
      <c r="R33" s="49" t="inlineStr"/>
      <c r="S33" s="49" t="inlineStr">
        <is>
          <t>Yes</t>
        </is>
      </c>
      <c r="T33" s="49" t="inlineStr">
        <is>
          <t>Yes</t>
        </is>
      </c>
      <c r="U33" s="49" t="inlineStr">
        <is>
          <t>A, C, D</t>
        </is>
      </c>
      <c r="V33" s="49" t="inlineStr">
        <is>
          <t>PASS - Gafta sample-preparation support</t>
        </is>
      </c>
      <c r="W33" s="49" t="inlineStr">
        <is>
          <t>1.0 Preparation of the Sample for Analysis</t>
        </is>
      </c>
      <c r="X33" s="49" t="inlineStr">
        <is>
          <t>Final equipment and SOP must satisfy Gafta Method 1.0 requirements.</t>
        </is>
      </c>
    </row>
    <row r="34" ht="78" customHeight="1">
      <c r="A34" s="49" t="inlineStr">
        <is>
          <t>PREP-04</t>
        </is>
      </c>
      <c r="B34" s="49" t="inlineStr">
        <is>
          <t>Sample preparation</t>
        </is>
      </c>
      <c r="C34" s="49" t="inlineStr">
        <is>
          <t>Fine grind for routine dry DDGS; NIR/reference prep</t>
        </is>
      </c>
      <c r="D34" s="49" t="inlineStr">
        <is>
          <t>Gafta Method 1.0 final grind to required particle size, subject to capacity and heat/moisture verification</t>
        </is>
      </c>
      <c r="E34" s="49" t="inlineStr">
        <is>
          <t>Conditional Gafta sample-preparation option</t>
        </is>
      </c>
      <c r="F34" s="49" t="inlineStr">
        <is>
          <t>FOSS</t>
        </is>
      </c>
      <c r="G34" s="49" t="inlineStr">
        <is>
          <t>CT 293 Cyclotec</t>
        </is>
      </c>
      <c r="H34" s="49" t="inlineStr">
        <is>
          <t>FOSS budget fine mill</t>
        </is>
      </c>
      <c r="I34" s="49" t="inlineStr">
        <is>
          <t>Budget option</t>
        </is>
      </c>
      <c r="J34" s="49" t="n">
        <v>15000</v>
      </c>
      <c r="K34" s="49" t="n">
        <v>25000</v>
      </c>
      <c r="L34" s="49" t="inlineStr">
        <is>
          <t>Quote only</t>
        </is>
      </c>
      <c r="M34" s="49" t="inlineStr">
        <is>
          <t>Budget estimate</t>
        </is>
      </c>
      <c r="N34" s="34" t="inlineStr">
        <is>
          <t>https://www.fossanalytics.com/en/products/ct-293-cyclotec</t>
        </is>
      </c>
      <c r="O34" s="34" t="inlineStr">
        <is>
          <t>https://www.fossanalytics.com/en/products/ct-293-cyclotec</t>
        </is>
      </c>
      <c r="P34" s="49" t="inlineStr">
        <is>
          <t>Good budget fine mill for dry samples; screens include 1.00 mm. Confirm DDGS throughput, cleaning, and mineral contamination.</t>
        </is>
      </c>
      <c r="Q34" s="49" t="inlineStr"/>
      <c r="R34" s="49" t="inlineStr">
        <is>
          <t>Yes</t>
        </is>
      </c>
      <c r="S34" s="49" t="inlineStr"/>
      <c r="T34" s="49" t="inlineStr"/>
      <c r="U34" s="49" t="inlineStr">
        <is>
          <t>B</t>
        </is>
      </c>
      <c r="V34" s="49" t="inlineStr">
        <is>
          <t>CONDITIONAL PASS</t>
        </is>
      </c>
      <c r="W34" s="49" t="inlineStr">
        <is>
          <t>1.0 Preparation of the Sample for Analysis</t>
        </is>
      </c>
      <c r="X34" s="49" t="inlineStr">
        <is>
          <t>Confirm capacity, 1.00 mm passage, heat/moisture control and cleanability.</t>
        </is>
      </c>
    </row>
    <row r="35" ht="78" customHeight="1">
      <c r="A35" s="49" t="inlineStr">
        <is>
          <t>PREP-05</t>
        </is>
      </c>
      <c r="B35" s="49" t="inlineStr">
        <is>
          <t>Sample preparation</t>
        </is>
      </c>
      <c r="C35" s="49" t="inlineStr">
        <is>
          <t>Representative aliquots for all tests; critical for mycotoxins</t>
        </is>
      </c>
      <c r="D35" s="49" t="inlineStr">
        <is>
          <t>Gafta Method 1.0 representative division/quartering support</t>
        </is>
      </c>
      <c r="E35" s="49" t="inlineStr">
        <is>
          <t>Gafta-listed sample preparation support</t>
        </is>
      </c>
      <c r="F35" s="49" t="inlineStr">
        <is>
          <t>RETSCH</t>
        </is>
      </c>
      <c r="G35" s="49" t="inlineStr">
        <is>
          <t>PT 100 rotating sample divider + DR 100 feeder</t>
        </is>
      </c>
      <c r="H35" s="49" t="inlineStr">
        <is>
          <t>Recommended</t>
        </is>
      </c>
      <c r="I35" s="49" t="inlineStr">
        <is>
          <t>Launch purchase</t>
        </is>
      </c>
      <c r="J35" s="49" t="n">
        <v>10000</v>
      </c>
      <c r="K35" s="49" t="n">
        <v>18000</v>
      </c>
      <c r="L35" s="49" t="inlineStr">
        <is>
          <t>Quote/list varies</t>
        </is>
      </c>
      <c r="M35" s="49" t="inlineStr">
        <is>
          <t>Budget estimate</t>
        </is>
      </c>
      <c r="N35" s="34" t="inlineStr">
        <is>
          <t>https://www.retsch.com/products/assisting/sample-divider/pt-100/</t>
        </is>
      </c>
      <c r="O35" s="34" t="inlineStr">
        <is>
          <t>https://www.retsch.com/products/assisting/sample-divider/pt-100/</t>
        </is>
      </c>
      <c r="P35" s="49" t="inlineStr">
        <is>
          <t>Preferred over scooping. If mycotoxin lots are large, evaluate larger divider capacity.</t>
        </is>
      </c>
      <c r="Q35" s="49" t="inlineStr">
        <is>
          <t>Yes</t>
        </is>
      </c>
      <c r="R35" s="49" t="inlineStr">
        <is>
          <t>Yes</t>
        </is>
      </c>
      <c r="S35" s="49" t="inlineStr">
        <is>
          <t>Yes</t>
        </is>
      </c>
      <c r="T35" s="49" t="inlineStr">
        <is>
          <t>Yes</t>
        </is>
      </c>
      <c r="U35" s="49" t="inlineStr">
        <is>
          <t>A, B, C, D</t>
        </is>
      </c>
      <c r="V35" s="49" t="inlineStr">
        <is>
          <t>PASS - Gafta sample-preparation support</t>
        </is>
      </c>
      <c r="W35" s="49" t="inlineStr">
        <is>
          <t>1.0 Preparation of the Sample for Analysis</t>
        </is>
      </c>
      <c r="X35" s="49" t="inlineStr">
        <is>
          <t>Final equipment and SOP must satisfy Gafta Method 1.0 requirements.</t>
        </is>
      </c>
    </row>
    <row r="36" ht="78" customHeight="1">
      <c r="A36" s="49" t="inlineStr">
        <is>
          <t>PREP-06</t>
        </is>
      </c>
      <c r="B36" s="49" t="inlineStr">
        <is>
          <t>Sample preparation</t>
        </is>
      </c>
      <c r="C36" s="49" t="inlineStr">
        <is>
          <t>Particle-size verification after grinding</t>
        </is>
      </c>
      <c r="D36" s="49" t="inlineStr">
        <is>
          <t>Gafta Method 1.0 particle-size verification support</t>
        </is>
      </c>
      <c r="E36" s="49" t="inlineStr">
        <is>
          <t>Gafta-listed sample preparation support</t>
        </is>
      </c>
      <c r="F36" s="49" t="inlineStr">
        <is>
          <t>RETSCH</t>
        </is>
      </c>
      <c r="G36" s="49" t="inlineStr">
        <is>
          <t>AS 200 control sieve shaker</t>
        </is>
      </c>
      <c r="H36" s="49" t="inlineStr">
        <is>
          <t>Recommended</t>
        </is>
      </c>
      <c r="I36" s="49" t="inlineStr">
        <is>
          <t>Launch purchase</t>
        </is>
      </c>
      <c r="J36" s="49" t="n">
        <v>8000</v>
      </c>
      <c r="K36" s="49" t="n">
        <v>13000</v>
      </c>
      <c r="L36" s="49" t="inlineStr">
        <is>
          <t>Quote/list varies</t>
        </is>
      </c>
      <c r="M36" s="49" t="inlineStr">
        <is>
          <t>Budget estimate</t>
        </is>
      </c>
      <c r="N36" s="34" t="inlineStr">
        <is>
          <t>https://www.retsch.com/products/sieving/sieve-shakers/as-200-control/</t>
        </is>
      </c>
      <c r="O36" s="34" t="inlineStr">
        <is>
          <t>https://www.retsch.com/products/sieving/sieve-shakers/as-200-control/</t>
        </is>
      </c>
      <c r="P36" s="49" t="inlineStr">
        <is>
          <t>Calibratable and more reproducible than basic version; best for accredited prep verification.</t>
        </is>
      </c>
      <c r="Q36" s="49" t="inlineStr">
        <is>
          <t>Yes</t>
        </is>
      </c>
      <c r="R36" s="49" t="inlineStr"/>
      <c r="S36" s="49" t="inlineStr">
        <is>
          <t>Yes</t>
        </is>
      </c>
      <c r="T36" s="49" t="inlineStr"/>
      <c r="U36" s="49" t="inlineStr">
        <is>
          <t>A, C</t>
        </is>
      </c>
      <c r="V36" s="49" t="inlineStr">
        <is>
          <t>PASS - Gafta sample-preparation support</t>
        </is>
      </c>
      <c r="W36" s="49" t="inlineStr">
        <is>
          <t>1.0 Preparation of the Sample for Analysis</t>
        </is>
      </c>
      <c r="X36" s="49" t="inlineStr">
        <is>
          <t>Final equipment and SOP must satisfy Gafta Method 1.0 requirements.</t>
        </is>
      </c>
    </row>
    <row r="37" ht="78" customHeight="1">
      <c r="A37" s="49" t="inlineStr">
        <is>
          <t>PREP-07</t>
        </is>
      </c>
      <c r="B37" s="49" t="inlineStr">
        <is>
          <t>Sample preparation</t>
        </is>
      </c>
      <c r="C37" s="49" t="inlineStr">
        <is>
          <t>Particle-size verification after grinding</t>
        </is>
      </c>
      <c r="D37" s="49" t="inlineStr">
        <is>
          <t>Gafta Method 1.0 particle-size verification support</t>
        </is>
      </c>
      <c r="E37" s="49" t="inlineStr">
        <is>
          <t>Gafta-listed sample preparation support</t>
        </is>
      </c>
      <c r="F37" s="49" t="inlineStr">
        <is>
          <t>RETSCH</t>
        </is>
      </c>
      <c r="G37" s="49" t="inlineStr">
        <is>
          <t>AS 200 basic sieve shaker</t>
        </is>
      </c>
      <c r="H37" s="49" t="inlineStr">
        <is>
          <t>Budget option</t>
        </is>
      </c>
      <c r="I37" s="49" t="inlineStr">
        <is>
          <t>Budget option</t>
        </is>
      </c>
      <c r="J37" s="49" t="n">
        <v>4000</v>
      </c>
      <c r="K37" s="49" t="n">
        <v>7000</v>
      </c>
      <c r="L37" s="49" t="inlineStr">
        <is>
          <t>Quote/list varies</t>
        </is>
      </c>
      <c r="M37" s="49" t="inlineStr">
        <is>
          <t>Budget estimate</t>
        </is>
      </c>
      <c r="N37" s="34" t="inlineStr">
        <is>
          <t>https://www.retsch.com/products/sieving/sieve-shakers/as-200-basic</t>
        </is>
      </c>
      <c r="O37" s="34" t="inlineStr">
        <is>
          <t>https://www.retsch.com/products/sieving/sieve-shakers/as-200-basic</t>
        </is>
      </c>
      <c r="P37" s="49" t="inlineStr">
        <is>
          <t>Lower cost than AS 200 control. Acceptable if particle-size checks are simple pass/fail and calibration requirements are manageable.</t>
        </is>
      </c>
      <c r="Q37" s="49" t="inlineStr"/>
      <c r="R37" s="49" t="inlineStr">
        <is>
          <t>Yes</t>
        </is>
      </c>
      <c r="S37" s="49" t="inlineStr"/>
      <c r="T37" s="49" t="inlineStr">
        <is>
          <t>Yes</t>
        </is>
      </c>
      <c r="U37" s="49" t="inlineStr">
        <is>
          <t>B, D</t>
        </is>
      </c>
      <c r="V37" s="49" t="inlineStr">
        <is>
          <t>PASS - Gafta sample-preparation support</t>
        </is>
      </c>
      <c r="W37" s="49" t="inlineStr">
        <is>
          <t>1.0 Preparation of the Sample for Analysis</t>
        </is>
      </c>
      <c r="X37" s="49" t="inlineStr">
        <is>
          <t>Final equipment and SOP must satisfy Gafta Method 1.0 requirements.</t>
        </is>
      </c>
    </row>
    <row r="38" ht="78" customHeight="1">
      <c r="A38" s="49" t="inlineStr">
        <is>
          <t>PREP-08</t>
        </is>
      </c>
      <c r="B38" s="49" t="inlineStr">
        <is>
          <t>Sample preparation</t>
        </is>
      </c>
      <c r="C38" s="49" t="inlineStr">
        <is>
          <t>Particle-size verification; 1.00 mm and 2.80 mm pass checks</t>
        </is>
      </c>
      <c r="D38" s="49" t="inlineStr">
        <is>
          <t>Gafta Method 1.0 particle-size verification using 1.00 mm and 2.80 mm sieves</t>
        </is>
      </c>
      <c r="E38" s="49" t="inlineStr">
        <is>
          <t>Gafta-listed sample preparation support</t>
        </is>
      </c>
      <c r="F38" s="49" t="inlineStr">
        <is>
          <t>Gilson / Humboldt / Advantech</t>
        </is>
      </c>
      <c r="G38" s="49" t="inlineStr">
        <is>
          <t>8-inch certified stainless test sieves, pans, lids</t>
        </is>
      </c>
      <c r="H38" s="49" t="inlineStr">
        <is>
          <t>Required accessory</t>
        </is>
      </c>
      <c r="I38" s="49" t="inlineStr">
        <is>
          <t>Launch purchase</t>
        </is>
      </c>
      <c r="J38" s="49" t="n">
        <v>1000</v>
      </c>
      <c r="K38" s="49" t="n">
        <v>3500</v>
      </c>
      <c r="L38" s="49" t="inlineStr">
        <is>
          <t>1.00 mm Gilson public price $71.10; Humboldt public price $110; certification/additional sizes extra</t>
        </is>
      </c>
      <c r="M38" s="49" t="inlineStr">
        <is>
          <t>Public individual sieve prices plus certification/full set estimate</t>
        </is>
      </c>
      <c r="N38" s="34" t="inlineStr">
        <is>
          <t>https://www.globalgilson.com/8-inch-sieve-all-stainless-full-height-number-18</t>
        </is>
      </c>
      <c r="O38" s="34" t="inlineStr">
        <is>
          <t>https://www.humboldtmfg.com/sieves-8-dia-stainless-frame-and-mesh-no-18-100-mm-full-height-2-50-mm.html</t>
        </is>
      </c>
      <c r="P38" s="49" t="inlineStr">
        <is>
          <t>Buy working and backup/reference sieves for 1.00 mm and 2.80 mm. Use inspection-grade certification where possible.</t>
        </is>
      </c>
      <c r="Q38" s="49" t="inlineStr">
        <is>
          <t>Yes</t>
        </is>
      </c>
      <c r="R38" s="49" t="inlineStr">
        <is>
          <t>Yes</t>
        </is>
      </c>
      <c r="S38" s="49" t="inlineStr">
        <is>
          <t>Yes</t>
        </is>
      </c>
      <c r="T38" s="49" t="inlineStr">
        <is>
          <t>Yes</t>
        </is>
      </c>
      <c r="U38" s="49" t="inlineStr">
        <is>
          <t>A, B, C, D</t>
        </is>
      </c>
      <c r="V38" s="49" t="inlineStr">
        <is>
          <t>PASS - Gafta sample-preparation support</t>
        </is>
      </c>
      <c r="W38" s="49" t="inlineStr">
        <is>
          <t>1.0 Preparation of the Sample for Analysis</t>
        </is>
      </c>
      <c r="X38" s="49" t="inlineStr">
        <is>
          <t>Final equipment and SOP must satisfy Gafta Method 1.0 requirements.</t>
        </is>
      </c>
    </row>
    <row r="39" ht="78" customHeight="1">
      <c r="A39" s="49" t="inlineStr">
        <is>
          <t>CALC-01</t>
        </is>
      </c>
      <c r="B39" s="49" t="inlineStr">
        <is>
          <t>Calculations and reporting</t>
        </is>
      </c>
      <c r="C39" s="49" t="inlineStr">
        <is>
          <t>Dry matter basis conversions; ADF calculation; DE, ME, NEm, NEg, NEl, TDN; protein+fat; amino acid sum; aflatoxin sum</t>
        </is>
      </c>
      <c r="D39" s="49" t="inlineStr">
        <is>
          <t>Calculation; customer equation set; NRC/industry equations as agreed</t>
        </is>
      </c>
      <c r="E39" s="49" t="inlineStr">
        <is>
          <t>No Gafta analytical method; controlled calculations only</t>
        </is>
      </c>
      <c r="F39" s="49" t="inlineStr">
        <is>
          <t>LIMS / spreadsheet / calculation module</t>
        </is>
      </c>
      <c r="G39" s="49" t="inlineStr">
        <is>
          <t>Validated calculation template in LIMS</t>
        </is>
      </c>
      <c r="H39" s="49" t="inlineStr">
        <is>
          <t>Required reporting logic</t>
        </is>
      </c>
      <c r="I39" s="49" t="inlineStr">
        <is>
          <t>Launch configuration</t>
        </is>
      </c>
      <c r="J39" s="49" t="n">
        <v>0</v>
      </c>
      <c r="K39" s="49" t="n">
        <v>5000</v>
      </c>
      <c r="L39" s="49" t="inlineStr">
        <is>
          <t>No instrument; LIMS configuration/validation labor</t>
        </is>
      </c>
      <c r="M39" s="49" t="inlineStr">
        <is>
          <t>Internal configuration estimate</t>
        </is>
      </c>
      <c r="N39" s="49" t="inlineStr">
        <is>
          <t>User provided COA methods - Calculation</t>
        </is>
      </c>
      <c r="O39" s="49" t="inlineStr">
        <is>
          <t>User provided COA methods - Calculation</t>
        </is>
      </c>
      <c r="P39" s="49" t="inlineStr">
        <is>
          <t>Exact energy equations are not disclosed on the COA. ADF appears to be crude fiber x 1.25 on the provided COA; dry-matter basis equals as-received result divided by dry matter fraction.</t>
        </is>
      </c>
      <c r="Q39" s="49" t="inlineStr">
        <is>
          <t>Yes</t>
        </is>
      </c>
      <c r="R39" s="49" t="inlineStr">
        <is>
          <t>Yes</t>
        </is>
      </c>
      <c r="S39" s="49" t="inlineStr">
        <is>
          <t>Yes</t>
        </is>
      </c>
      <c r="T39" s="49" t="inlineStr"/>
      <c r="U39" s="49" t="inlineStr">
        <is>
          <t>A, B, C</t>
        </is>
      </c>
      <c r="V39" s="49" t="inlineStr">
        <is>
          <t>N/A - no applicable Gafta method listed</t>
        </is>
      </c>
      <c r="W39" s="49" t="inlineStr">
        <is>
          <t>Customer-agreed method / controlled calculation</t>
        </is>
      </c>
      <c r="X39" s="49" t="inlineStr">
        <is>
          <t>Permitted only because no applicable Gafta No.130 method is listed for this DDGS analyte; state the actual method on the report.</t>
        </is>
      </c>
    </row>
    <row r="40" ht="78" customHeight="1"/>
    <row r="41" ht="78" customHeight="1"/>
    <row r="42" ht="78" customHeight="1"/>
    <row r="43" ht="78" customHeight="1"/>
    <row r="44" ht="78" customHeight="1"/>
    <row r="45" ht="78" customHeight="1"/>
    <row r="46" ht="78" customHeight="1"/>
    <row r="47" ht="78" customHeight="1"/>
    <row r="48" ht="78" customHeight="1"/>
  </sheetData>
  <autoFilter ref="A1:X39"/>
  <hyperlinks>
    <hyperlink xmlns:r="http://schemas.openxmlformats.org/officeDocument/2006/relationships" ref="N2" r:id="rId1"/>
    <hyperlink xmlns:r="http://schemas.openxmlformats.org/officeDocument/2006/relationships" ref="O2" r:id="rId2"/>
    <hyperlink xmlns:r="http://schemas.openxmlformats.org/officeDocument/2006/relationships" ref="N4" r:id="rId3"/>
    <hyperlink xmlns:r="http://schemas.openxmlformats.org/officeDocument/2006/relationships" ref="O4" r:id="rId4"/>
    <hyperlink xmlns:r="http://schemas.openxmlformats.org/officeDocument/2006/relationships" ref="N5" r:id="rId5"/>
    <hyperlink xmlns:r="http://schemas.openxmlformats.org/officeDocument/2006/relationships" ref="O5" r:id="rId6"/>
    <hyperlink xmlns:r="http://schemas.openxmlformats.org/officeDocument/2006/relationships" ref="N6" r:id="rId7"/>
    <hyperlink xmlns:r="http://schemas.openxmlformats.org/officeDocument/2006/relationships" ref="O6" r:id="rId8"/>
    <hyperlink xmlns:r="http://schemas.openxmlformats.org/officeDocument/2006/relationships" ref="N7" r:id="rId9"/>
    <hyperlink xmlns:r="http://schemas.openxmlformats.org/officeDocument/2006/relationships" ref="O7" r:id="rId10"/>
    <hyperlink xmlns:r="http://schemas.openxmlformats.org/officeDocument/2006/relationships" ref="N8" r:id="rId11"/>
    <hyperlink xmlns:r="http://schemas.openxmlformats.org/officeDocument/2006/relationships" ref="O8" r:id="rId12"/>
    <hyperlink xmlns:r="http://schemas.openxmlformats.org/officeDocument/2006/relationships" ref="N9" r:id="rId13"/>
    <hyperlink xmlns:r="http://schemas.openxmlformats.org/officeDocument/2006/relationships" ref="O9" r:id="rId14"/>
    <hyperlink xmlns:r="http://schemas.openxmlformats.org/officeDocument/2006/relationships" ref="N10" r:id="rId15"/>
    <hyperlink xmlns:r="http://schemas.openxmlformats.org/officeDocument/2006/relationships" ref="O10" r:id="rId16"/>
    <hyperlink xmlns:r="http://schemas.openxmlformats.org/officeDocument/2006/relationships" ref="N11" r:id="rId17"/>
    <hyperlink xmlns:r="http://schemas.openxmlformats.org/officeDocument/2006/relationships" ref="O11" r:id="rId18"/>
    <hyperlink xmlns:r="http://schemas.openxmlformats.org/officeDocument/2006/relationships" ref="N12" r:id="rId19"/>
    <hyperlink xmlns:r="http://schemas.openxmlformats.org/officeDocument/2006/relationships" ref="O12" r:id="rId20"/>
    <hyperlink xmlns:r="http://schemas.openxmlformats.org/officeDocument/2006/relationships" ref="N13" r:id="rId21"/>
    <hyperlink xmlns:r="http://schemas.openxmlformats.org/officeDocument/2006/relationships" ref="O13" r:id="rId22"/>
    <hyperlink xmlns:r="http://schemas.openxmlformats.org/officeDocument/2006/relationships" ref="N14" r:id="rId23"/>
    <hyperlink xmlns:r="http://schemas.openxmlformats.org/officeDocument/2006/relationships" ref="O14" r:id="rId24"/>
    <hyperlink xmlns:r="http://schemas.openxmlformats.org/officeDocument/2006/relationships" ref="N15" r:id="rId25"/>
    <hyperlink xmlns:r="http://schemas.openxmlformats.org/officeDocument/2006/relationships" ref="O15" r:id="rId26"/>
    <hyperlink xmlns:r="http://schemas.openxmlformats.org/officeDocument/2006/relationships" ref="N16" r:id="rId27"/>
    <hyperlink xmlns:r="http://schemas.openxmlformats.org/officeDocument/2006/relationships" ref="O16" r:id="rId28"/>
    <hyperlink xmlns:r="http://schemas.openxmlformats.org/officeDocument/2006/relationships" ref="N17" r:id="rId29"/>
    <hyperlink xmlns:r="http://schemas.openxmlformats.org/officeDocument/2006/relationships" ref="O17" r:id="rId30"/>
    <hyperlink xmlns:r="http://schemas.openxmlformats.org/officeDocument/2006/relationships" ref="N18" r:id="rId31"/>
    <hyperlink xmlns:r="http://schemas.openxmlformats.org/officeDocument/2006/relationships" ref="O18" r:id="rId32"/>
    <hyperlink xmlns:r="http://schemas.openxmlformats.org/officeDocument/2006/relationships" ref="N19" r:id="rId33"/>
    <hyperlink xmlns:r="http://schemas.openxmlformats.org/officeDocument/2006/relationships" ref="O19" r:id="rId34"/>
    <hyperlink xmlns:r="http://schemas.openxmlformats.org/officeDocument/2006/relationships" ref="N20" r:id="rId35"/>
    <hyperlink xmlns:r="http://schemas.openxmlformats.org/officeDocument/2006/relationships" ref="O20" r:id="rId36"/>
    <hyperlink xmlns:r="http://schemas.openxmlformats.org/officeDocument/2006/relationships" ref="N21" r:id="rId37"/>
    <hyperlink xmlns:r="http://schemas.openxmlformats.org/officeDocument/2006/relationships" ref="O21" r:id="rId38"/>
    <hyperlink xmlns:r="http://schemas.openxmlformats.org/officeDocument/2006/relationships" ref="N22" r:id="rId39"/>
    <hyperlink xmlns:r="http://schemas.openxmlformats.org/officeDocument/2006/relationships" ref="O22" r:id="rId40"/>
    <hyperlink xmlns:r="http://schemas.openxmlformats.org/officeDocument/2006/relationships" ref="N23" r:id="rId41"/>
    <hyperlink xmlns:r="http://schemas.openxmlformats.org/officeDocument/2006/relationships" ref="O23" r:id="rId42"/>
    <hyperlink xmlns:r="http://schemas.openxmlformats.org/officeDocument/2006/relationships" ref="N24" r:id="rId43"/>
    <hyperlink xmlns:r="http://schemas.openxmlformats.org/officeDocument/2006/relationships" ref="O24" r:id="rId44"/>
    <hyperlink xmlns:r="http://schemas.openxmlformats.org/officeDocument/2006/relationships" ref="N25" r:id="rId45"/>
    <hyperlink xmlns:r="http://schemas.openxmlformats.org/officeDocument/2006/relationships" ref="O25" r:id="rId46"/>
    <hyperlink xmlns:r="http://schemas.openxmlformats.org/officeDocument/2006/relationships" ref="N26" r:id="rId47"/>
    <hyperlink xmlns:r="http://schemas.openxmlformats.org/officeDocument/2006/relationships" ref="O26" r:id="rId48"/>
    <hyperlink xmlns:r="http://schemas.openxmlformats.org/officeDocument/2006/relationships" ref="N27" r:id="rId49"/>
    <hyperlink xmlns:r="http://schemas.openxmlformats.org/officeDocument/2006/relationships" ref="O27" r:id="rId50"/>
    <hyperlink xmlns:r="http://schemas.openxmlformats.org/officeDocument/2006/relationships" ref="N28" r:id="rId51"/>
    <hyperlink xmlns:r="http://schemas.openxmlformats.org/officeDocument/2006/relationships" ref="O28" r:id="rId52"/>
    <hyperlink xmlns:r="http://schemas.openxmlformats.org/officeDocument/2006/relationships" ref="N29" r:id="rId53"/>
    <hyperlink xmlns:r="http://schemas.openxmlformats.org/officeDocument/2006/relationships" ref="O29" r:id="rId54"/>
    <hyperlink xmlns:r="http://schemas.openxmlformats.org/officeDocument/2006/relationships" ref="O30" r:id="rId55"/>
    <hyperlink xmlns:r="http://schemas.openxmlformats.org/officeDocument/2006/relationships" ref="N31" r:id="rId56"/>
    <hyperlink xmlns:r="http://schemas.openxmlformats.org/officeDocument/2006/relationships" ref="O31" r:id="rId57"/>
    <hyperlink xmlns:r="http://schemas.openxmlformats.org/officeDocument/2006/relationships" ref="N32" r:id="rId58"/>
    <hyperlink xmlns:r="http://schemas.openxmlformats.org/officeDocument/2006/relationships" ref="O32" r:id="rId59"/>
    <hyperlink xmlns:r="http://schemas.openxmlformats.org/officeDocument/2006/relationships" ref="N33" r:id="rId60"/>
    <hyperlink xmlns:r="http://schemas.openxmlformats.org/officeDocument/2006/relationships" ref="O33" r:id="rId61"/>
    <hyperlink xmlns:r="http://schemas.openxmlformats.org/officeDocument/2006/relationships" ref="N34" r:id="rId62"/>
    <hyperlink xmlns:r="http://schemas.openxmlformats.org/officeDocument/2006/relationships" ref="O34" r:id="rId63"/>
    <hyperlink xmlns:r="http://schemas.openxmlformats.org/officeDocument/2006/relationships" ref="N35" r:id="rId64"/>
    <hyperlink xmlns:r="http://schemas.openxmlformats.org/officeDocument/2006/relationships" ref="O35" r:id="rId65"/>
    <hyperlink xmlns:r="http://schemas.openxmlformats.org/officeDocument/2006/relationships" ref="N36" r:id="rId66"/>
    <hyperlink xmlns:r="http://schemas.openxmlformats.org/officeDocument/2006/relationships" ref="O36" r:id="rId67"/>
    <hyperlink xmlns:r="http://schemas.openxmlformats.org/officeDocument/2006/relationships" ref="N37" r:id="rId68"/>
    <hyperlink xmlns:r="http://schemas.openxmlformats.org/officeDocument/2006/relationships" ref="O37" r:id="rId69"/>
    <hyperlink xmlns:r="http://schemas.openxmlformats.org/officeDocument/2006/relationships" ref="N38" r:id="rId70"/>
    <hyperlink xmlns:r="http://schemas.openxmlformats.org/officeDocument/2006/relationships" ref="O38" r:id="rId71"/>
  </hyperlinks>
  <pageMargins left="0.75" right="0.75" top="1" bottom="1" header="0.5" footer="0.5"/>
  <pageSetup orientation="landscape" fitToHeight="0" fitToWidth="1"/>
  <legacyDrawing xmlns:r="http://schemas.openxmlformats.org/officeDocument/2006/relationships" r:id="anysvml"/>
  <tableParts count="1">
    <tablePart xmlns:r="http://schemas.openxmlformats.org/officeDocument/2006/relationships" r:id="rId72"/>
  </tableParts>
</worksheet>
</file>

<file path=xl/worksheets/sheet5.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30" customWidth="1" min="3" max="3"/>
    <col width="20" customWidth="1" min="4" max="4"/>
    <col width="48" customWidth="1" min="5" max="5"/>
    <col width="34" customWidth="1" min="6" max="6"/>
    <col width="46" customWidth="1" min="7" max="7"/>
    <col width="45" customWidth="1" min="8" max="8"/>
  </cols>
  <sheetData>
    <row r="1">
      <c r="A1" s="48" t="inlineStr">
        <is>
          <t>Status</t>
        </is>
      </c>
      <c r="B1" s="48" t="inlineStr">
        <is>
          <t>Original Option ID</t>
        </is>
      </c>
      <c r="C1" s="48" t="inlineStr">
        <is>
          <t>Vendor / Model</t>
        </is>
      </c>
      <c r="D1" s="48" t="inlineStr">
        <is>
          <t>Analyte / use</t>
        </is>
      </c>
      <c r="E1" s="48" t="inlineStr">
        <is>
          <t>Why removed from active Gafta-first list</t>
        </is>
      </c>
      <c r="F1" s="48" t="inlineStr">
        <is>
          <t>Gafta method required where applicable</t>
        </is>
      </c>
      <c r="G1" s="48" t="inlineStr">
        <is>
          <t>Reconsider only if</t>
        </is>
      </c>
      <c r="H1" s="48" t="inlineStr">
        <is>
          <t>Source URL</t>
        </is>
      </c>
    </row>
    <row r="2" ht="72" customHeight="1">
      <c r="A2" s="50" t="inlineStr">
        <is>
          <t>HOLD - exact method not demonstrated</t>
        </is>
      </c>
      <c r="B2" s="50" t="inlineStr">
        <is>
          <t>MIN-04</t>
        </is>
      </c>
      <c r="C2" s="50" t="inlineStr">
        <is>
          <t>Hach DR3900 / DR6000</t>
        </is>
      </c>
      <c r="D2" s="50" t="inlineStr">
        <is>
          <t>Phosphorus colorimetry</t>
        </is>
      </c>
      <c r="E2" s="50" t="inlineStr">
        <is>
          <t>The workbook had no exact ISO 6491 method package for this configuration. It may be technically usable as a detector, but it is not retained for purchasing until the complete current ISO 6491 procedure is mapped.</t>
        </is>
      </c>
      <c r="F2" s="50" t="inlineStr">
        <is>
          <t>8.0 / ISO 6491</t>
        </is>
      </c>
      <c r="G2" s="50" t="inlineStr">
        <is>
          <t>Vendor or AIT documents the full ISO 6491 procedure, wavelength performance, calibration and reporting.</t>
        </is>
      </c>
      <c r="H2" s="34" t="inlineStr">
        <is>
          <t>https://www.gafta.com/register-of-analysis-methods/</t>
        </is>
      </c>
    </row>
    <row r="3" ht="72" customHeight="1">
      <c r="A3" s="50" t="inlineStr">
        <is>
          <t>HOLD - exact method not demonstrated</t>
        </is>
      </c>
      <c r="B3" s="50" t="inlineStr">
        <is>
          <t>MOIST-01</t>
        </is>
      </c>
      <c r="C3" s="50" t="inlineStr">
        <is>
          <t>LECO TGA801</t>
        </is>
      </c>
      <c r="D3" s="50" t="inlineStr">
        <is>
          <t>Moisture and ash</t>
        </is>
      </c>
      <c r="E3" s="50" t="inlineStr">
        <is>
          <t>Published reference methods in the workbook were AOAC 930.15 and AOAC 942.05, not Gafta ISO 6496 and ISO 5984. A general instrumental-equivalence exception is not being relied upon.</t>
        </is>
      </c>
      <c r="F3" s="50" t="inlineStr">
        <is>
          <t>2.1 / ISO 6496 and 11.1 / ISO 5984</t>
        </is>
      </c>
      <c r="G3" s="50" t="inlineStr">
        <is>
          <t>LECO supplies written clause-by-clause evidence that the configured instrument executes the exact current ISO methods and Gafta accepts the scope.</t>
        </is>
      </c>
      <c r="H3" s="34" t="inlineStr">
        <is>
          <t>https://www.leco.com/products/thermogravimetric-analyzer/</t>
        </is>
      </c>
    </row>
    <row r="4" ht="72" customHeight="1">
      <c r="A4" s="51" t="inlineStr">
        <is>
          <t>REMOVED - different method</t>
        </is>
      </c>
      <c r="B4" s="51" t="inlineStr">
        <is>
          <t>FAT-03</t>
        </is>
      </c>
      <c r="C4" s="51" t="inlineStr">
        <is>
          <t>VELP SER 158</t>
        </is>
      </c>
      <c r="D4" s="51" t="inlineStr">
        <is>
          <t>Crude fat</t>
        </is>
      </c>
      <c r="E4" s="51" t="inlineStr">
        <is>
          <t>Current VELP feed application is ISO 11085 Randall extraction, while Gafta requires ISO 6492 Procedure A.</t>
        </is>
      </c>
      <c r="F4" s="51" t="inlineStr">
        <is>
          <t>3.2 / ISO 6492 Procedure A</t>
        </is>
      </c>
      <c r="G4" s="51" t="inlineStr">
        <is>
          <t>VELP supplies a current, exact ISO 6492 Procedure A application and confirms the instrument configuration performs it without method substitution.</t>
        </is>
      </c>
      <c r="H4" s="34" t="inlineStr">
        <is>
          <t>https://www.velp.com/public/file/crude-fat-determination-in-feed-206519.pdf</t>
        </is>
      </c>
    </row>
    <row r="5" ht="72" customHeight="1">
      <c r="A5" s="51" t="inlineStr">
        <is>
          <t>REMOVED - different / unproven method</t>
        </is>
      </c>
      <c r="B5" s="51" t="inlineStr">
        <is>
          <t>FAT-04</t>
        </is>
      </c>
      <c r="C5" s="51" t="inlineStr">
        <is>
          <t>VELP SER 148</t>
        </is>
      </c>
      <c r="D5" s="51" t="inlineStr">
        <is>
          <t>Crude fat</t>
        </is>
      </c>
      <c r="E5" s="51" t="inlineStr">
        <is>
          <t>Randall-style extraction was not demonstrated as the exact Gafta ISO 6492 Procedure A method.</t>
        </is>
      </c>
      <c r="F5" s="51" t="inlineStr">
        <is>
          <t>3.2 / ISO 6492 Procedure A</t>
        </is>
      </c>
      <c r="G5" s="51" t="inlineStr">
        <is>
          <t>Written exact-method mapping to ISO 6492 Procedure A is supplied.</t>
        </is>
      </c>
      <c r="H5" s="34" t="inlineStr">
        <is>
          <t>https://www.velp.com/en-ww/ser-158-series-automatic-solvent-extractor.aspx</t>
        </is>
      </c>
    </row>
    <row r="6" ht="72" customHeight="1">
      <c r="A6" s="50" t="inlineStr">
        <is>
          <t>HOLD - exact method not demonstrated</t>
        </is>
      </c>
      <c r="B6" s="50" t="inlineStr">
        <is>
          <t>FAT-05</t>
        </is>
      </c>
      <c r="C6" s="50" t="inlineStr">
        <is>
          <t>BUCHI FatExtractor E-500</t>
        </is>
      </c>
      <c r="D6" s="50" t="inlineStr">
        <is>
          <t>Crude fat</t>
        </is>
      </c>
      <c r="E6" s="50" t="inlineStr">
        <is>
          <t>Public feed applications located for this system cite ISO 11085 rather than Gafta ISO 6492 Procedure A. The SOX configuration may be reconsidered, but it is not in the active list without exact proof.</t>
        </is>
      </c>
      <c r="F6" s="50" t="inlineStr">
        <is>
          <t>3.2 / ISO 6492 Procedure A</t>
        </is>
      </c>
      <c r="G6" s="50" t="inlineStr">
        <is>
          <t>BUCHI supplies the exact current ISO 6492 Procedure A application for the selected SOX glassware/configuration.</t>
        </is>
      </c>
      <c r="H6" s="34" t="inlineStr">
        <is>
          <t>https://www.buchi.com/en/products/instruments/fatextractor-e-500</t>
        </is>
      </c>
    </row>
    <row r="7" ht="72" customHeight="1">
      <c r="A7" s="51" t="inlineStr">
        <is>
          <t>REMOVED - different method</t>
        </is>
      </c>
      <c r="B7" s="51" t="inlineStr">
        <is>
          <t>FAT-07</t>
        </is>
      </c>
      <c r="C7" s="51" t="inlineStr">
        <is>
          <t>ANKOM XT15</t>
        </is>
      </c>
      <c r="D7" s="51" t="inlineStr">
        <is>
          <t>Crude fat</t>
        </is>
      </c>
      <c r="E7" s="51" t="inlineStr">
        <is>
          <t>Uses AOCS Am 5-04/filter-bag extraction rather than Gafta ISO 6492 Procedure A.</t>
        </is>
      </c>
      <c r="F7" s="51" t="inlineStr">
        <is>
          <t>3.2 / ISO 6492 Procedure A</t>
        </is>
      </c>
      <c r="G7" s="51" t="inlineStr">
        <is>
          <t>Not reconsidered for Gafta crude fat unless Gafta adds the method or the instrument is shown to execute ISO 6492 Procedure A exactly.</t>
        </is>
      </c>
      <c r="H7" s="34" t="inlineStr">
        <is>
          <t>https://www.ankom.com/product-catalog/XT15-extractor</t>
        </is>
      </c>
    </row>
    <row r="8" ht="72" customHeight="1">
      <c r="A8" s="51" t="inlineStr">
        <is>
          <t>REMOVED - different method</t>
        </is>
      </c>
      <c r="B8" s="51" t="inlineStr">
        <is>
          <t>FIBER-04</t>
        </is>
      </c>
      <c r="C8" s="51" t="inlineStr">
        <is>
          <t>ANKOM DELTA</t>
        </is>
      </c>
      <c r="D8" s="51" t="inlineStr">
        <is>
          <t>Crude fiber / NDF / ADF</t>
        </is>
      </c>
      <c r="E8" s="51" t="inlineStr">
        <is>
          <t>AOCS Ba 6a-05 and ANKOM methods are not Gafta ISO 6865 crude fibre.</t>
        </is>
      </c>
      <c r="F8" s="51" t="inlineStr">
        <is>
          <t>9.0 / ISO 6865</t>
        </is>
      </c>
      <c r="G8" s="51" t="inlineStr">
        <is>
          <t>Not reconsidered for Gafta crude fibre unless the system executes ISO 6865 exactly.</t>
        </is>
      </c>
      <c r="H8" s="34" t="inlineStr">
        <is>
          <t>https://www.ankom.com/product-catalog/ankom-delta-fiber-analyzer</t>
        </is>
      </c>
    </row>
    <row r="9" ht="72" customHeight="1">
      <c r="A9" s="51" t="inlineStr">
        <is>
          <t>REMOVED - wrong analyte/method</t>
        </is>
      </c>
      <c r="B9" s="51" t="inlineStr">
        <is>
          <t>FIBER-05</t>
        </is>
      </c>
      <c r="C9" s="51" t="inlineStr">
        <is>
          <t>FOSS Fibertec 1023</t>
        </is>
      </c>
      <c r="D9" s="51" t="inlineStr">
        <is>
          <t>Dietary fiber</t>
        </is>
      </c>
      <c r="E9" s="51" t="inlineStr">
        <is>
          <t>This model is for dietary fiber, not Gafta crude fibre under ISO 6865.</t>
        </is>
      </c>
      <c r="F9" s="51" t="inlineStr">
        <is>
          <t>9.0 / ISO 6865</t>
        </is>
      </c>
      <c r="G9" s="51" t="inlineStr">
        <is>
          <t>Not applicable to the current Gafta crude-fibre scope.</t>
        </is>
      </c>
      <c r="H9" s="34" t="inlineStr">
        <is>
          <t>https://www.fossanalytics.com/products/fibertec1023</t>
        </is>
      </c>
    </row>
    <row r="10" ht="72" customHeight="1">
      <c r="A10" s="51" t="inlineStr">
        <is>
          <t>REMOVED - different method</t>
        </is>
      </c>
      <c r="B10" s="51" t="inlineStr">
        <is>
          <t>STARCH-01</t>
        </is>
      </c>
      <c r="C10" s="51" t="inlineStr">
        <is>
          <t>Megazyme/Neogen K-TSTA + UV-Vis</t>
        </is>
      </c>
      <c r="D10" s="51" t="inlineStr">
        <is>
          <t>Total starch</t>
        </is>
      </c>
      <c r="E10" s="51" t="inlineStr">
        <is>
          <t>AOAC 996.11 enzymatic starch is not Gafta Method 22.0 / ISO 6493 polarimetric starch.</t>
        </is>
      </c>
      <c r="F10" s="51" t="inlineStr">
        <is>
          <t>22.0 / ISO 6493</t>
        </is>
      </c>
      <c r="G10" s="51" t="inlineStr">
        <is>
          <t>Only as a separately agreed non-Gafta customer method, not as the Gafta starch result.</t>
        </is>
      </c>
      <c r="H10" s="34" t="inlineStr">
        <is>
          <t>https://www.megazyme.com/total-starch-assay-kit</t>
        </is>
      </c>
    </row>
    <row r="11" ht="72" customHeight="1">
      <c r="A11" s="51" t="inlineStr">
        <is>
          <t>REMOVED - different method</t>
        </is>
      </c>
      <c r="B11" s="51" t="inlineStr">
        <is>
          <t>STARCH-02</t>
        </is>
      </c>
      <c r="C11" s="51" t="inlineStr">
        <is>
          <t>Microplate reader for GOPOD</t>
        </is>
      </c>
      <c r="D11" s="51" t="inlineStr">
        <is>
          <t>Total starch</t>
        </is>
      </c>
      <c r="E11" s="51" t="inlineStr">
        <is>
          <t>A plate-reader adaptation of AOAC 996.11 is not Gafta ISO 6493 polarimetry.</t>
        </is>
      </c>
      <c r="F11" s="51" t="inlineStr">
        <is>
          <t>22.0 / ISO 6493</t>
        </is>
      </c>
      <c r="G11" s="51" t="inlineStr">
        <is>
          <t>Only as a separately agreed non-Gafta customer method.</t>
        </is>
      </c>
      <c r="H11" s="34" t="inlineStr">
        <is>
          <t>https://www.gafta.com/register-of-analysis-methods/</t>
        </is>
      </c>
    </row>
    <row r="12" ht="72" customHeight="1">
      <c r="A12" s="51" t="inlineStr">
        <is>
          <t>REMOVED - screening only</t>
        </is>
      </c>
      <c r="B12" s="51" t="inlineStr">
        <is>
          <t>NIR-01</t>
        </is>
      </c>
      <c r="C12" s="51" t="inlineStr">
        <is>
          <t>FOSS NIRS DS3 / DS2500 F</t>
        </is>
      </c>
      <c r="D12" s="51" t="inlineStr">
        <is>
          <t>Rapid screening</t>
        </is>
      </c>
      <c r="E12" s="51" t="inlineStr">
        <is>
          <t>NIR calibrations do not replace the named Gafta ISO methods for contractual or ring-test analysis.</t>
        </is>
      </c>
      <c r="F12" s="51" t="inlineStr">
        <is>
          <t>Named Gafta method for each analyte</t>
        </is>
      </c>
      <c r="G12" s="51" t="inlineStr">
        <is>
          <t>Keep outside the Gafta purchasing shortlist only as a future internal screening tool.</t>
        </is>
      </c>
      <c r="H12" s="34" t="inlineStr">
        <is>
          <t>https://www.fossanalytics.com/en/products/nirs-ds3-feed</t>
        </is>
      </c>
    </row>
    <row r="13" ht="72" customHeight="1">
      <c r="A13" s="51" t="inlineStr">
        <is>
          <t>REMOVED - screening only</t>
        </is>
      </c>
      <c r="B13" s="51" t="inlineStr">
        <is>
          <t>NIR-02</t>
        </is>
      </c>
      <c r="C13" s="51" t="inlineStr">
        <is>
          <t>PerkinElmer/Perten DA 7250</t>
        </is>
      </c>
      <c r="D13" s="51" t="inlineStr">
        <is>
          <t>Rapid screening</t>
        </is>
      </c>
      <c r="E13" s="51" t="inlineStr">
        <is>
          <t>NIR calibrations do not replace the named Gafta ISO methods.</t>
        </is>
      </c>
      <c r="F13" s="51" t="inlineStr">
        <is>
          <t>Named Gafta method for each analyte</t>
        </is>
      </c>
      <c r="G13" s="51" t="inlineStr">
        <is>
          <t>Keep outside the Gafta purchasing shortlist only as a future internal screening tool.</t>
        </is>
      </c>
      <c r="H13" s="34" t="inlineStr">
        <is>
          <t>https://shop.perkinelmer.com/product/PER072500</t>
        </is>
      </c>
    </row>
    <row r="14" ht="72" customHeight="1">
      <c r="A14" s="51" t="inlineStr">
        <is>
          <t>REMOVED - screening only</t>
        </is>
      </c>
      <c r="B14" s="51" t="inlineStr">
        <is>
          <t>NIR-03</t>
        </is>
      </c>
      <c r="C14" s="51" t="inlineStr">
        <is>
          <t>KPM/Unity SpectraStar XT-R</t>
        </is>
      </c>
      <c r="D14" s="51" t="inlineStr">
        <is>
          <t>Rapid screening</t>
        </is>
      </c>
      <c r="E14" s="51" t="inlineStr">
        <is>
          <t>NIR calibrations do not replace the named Gafta ISO methods.</t>
        </is>
      </c>
      <c r="F14" s="51" t="inlineStr">
        <is>
          <t>Named Gafta method for each analyte</t>
        </is>
      </c>
      <c r="G14" s="51" t="inlineStr">
        <is>
          <t>Keep outside the Gafta purchasing shortlist only as a future internal screening tool.</t>
        </is>
      </c>
      <c r="H14" s="34" t="inlineStr">
        <is>
          <t>https://www.kpmanalytics.com/products/moisture-compositional/spectrastar-xt-r</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s>
  <pageMargins left="0.75" right="0.75" top="1" bottom="1" header="0.5" footer="0.5"/>
  <tableParts count="1">
    <tablePart xmlns:r="http://schemas.openxmlformats.org/officeDocument/2006/relationships" r:id="rId14"/>
  </tableParts>
</worksheet>
</file>

<file path=xl/worksheets/sheet6.xml><?xml version="1.0" encoding="utf-8"?>
<worksheet xmlns="http://schemas.openxmlformats.org/spreadsheetml/2006/main">
  <sheetPr>
    <tabColor rgb="00ED7D31"/>
    <outlinePr summaryBelow="1" summaryRight="1"/>
    <pageSetUpPr fitToPage="1"/>
  </sheetPr>
  <dimension ref="A1:F7"/>
  <sheetViews>
    <sheetView showGridLines="0" workbookViewId="0">
      <pane ySplit="1" topLeftCell="A2" activePane="bottomLeft" state="frozen"/>
      <selection pane="bottomLeft" activeCell="A1" sqref="A1"/>
    </sheetView>
  </sheetViews>
  <sheetFormatPr baseColWidth="8" defaultRowHeight="15"/>
  <cols>
    <col width="28" customWidth="1" min="1" max="1"/>
    <col width="38" customWidth="1" min="2" max="2"/>
    <col width="80" customWidth="1" min="3" max="3"/>
    <col width="14" customWidth="1" min="4" max="4"/>
    <col width="14" customWidth="1" min="5" max="5"/>
    <col width="42" customWidth="1" min="6" max="6"/>
  </cols>
  <sheetData>
    <row r="1">
      <c r="A1" s="48" t="inlineStr">
        <is>
          <t>Scenario</t>
        </is>
      </c>
      <c r="B1" s="48" t="inlineStr">
        <is>
          <t>Purpose</t>
        </is>
      </c>
      <c r="C1" s="48" t="inlineStr">
        <is>
          <t>Included option IDs</t>
        </is>
      </c>
      <c r="D1" s="48" t="inlineStr">
        <is>
          <t>Low USD</t>
        </is>
      </c>
      <c r="E1" s="48" t="inlineStr">
        <is>
          <t>High USD</t>
        </is>
      </c>
      <c r="F1" s="48" t="inlineStr">
        <is>
          <t>Notes</t>
        </is>
      </c>
    </row>
    <row r="2">
      <c r="A2" s="49" t="inlineStr">
        <is>
          <t>A - Gafta strict/value full COA</t>
        </is>
      </c>
      <c r="B2" s="49" t="inlineStr">
        <is>
          <t>Balanced full-COA package using only Gafta-compatible methods where Gafta lists a method</t>
        </is>
      </c>
      <c r="C2" s="49" t="inlineStr">
        <is>
          <t>MYCO-01, MIN-01, MIN-02, MOIST-02, PROT-01, FAT-02, FIBER-02, STARCH-G1, COLOR-01, DENS-01, AA-02, AA-PREP-01, PREP-01, PREP-03, PREP-05, PREP-06, PREP-08, CALC-01</t>
        </is>
      </c>
      <c r="D2" s="52">
        <f>SUMIF('Instrument Options'!$Q$2:$Q$39,"Yes",'Instrument Options'!$J$2:$J$39)</f>
        <v/>
      </c>
      <c r="E2" s="52">
        <f>SUMIF('Instrument Options'!$Q$2:$Q$39,"Yes",'Instrument Options'!$K$2:$K$39)</f>
        <v/>
      </c>
      <c r="F2" s="49" t="inlineStr">
        <is>
          <t>Preferred value scenario; existing LCMS and ICP remain in use.</t>
        </is>
      </c>
    </row>
    <row r="3">
      <c r="A3" s="49" t="inlineStr">
        <is>
          <t>B - Gafta strict/lower capital</t>
        </is>
      </c>
      <c r="B3" s="49" t="inlineStr">
        <is>
          <t>Lowest-capex full-COA package; conventional Soxhlet and more manual fiber work</t>
        </is>
      </c>
      <c r="C3" s="49" t="inlineStr">
        <is>
          <t>MYCO-01, MIN-01, MIN-03, MOIST-02, PROT-01, FAT-06, FIBER-03, STARCH-G2, COLOR-01, DENS-01, AA-02, AA-PREP-01, PREP-01, PREP-04, PREP-05, PREP-07, PREP-08, CALC-01</t>
        </is>
      </c>
      <c r="D3" s="52">
        <f>SUMIF('Instrument Options'!$R$2:$R$39,"Yes",'Instrument Options'!$J$2:$J$39)</f>
        <v/>
      </c>
      <c r="E3" s="52">
        <f>SUMIF('Instrument Options'!$R$2:$R$39,"Yes",'Instrument Options'!$K$2:$K$39)</f>
        <v/>
      </c>
      <c r="F3" s="49" t="inlineStr">
        <is>
          <t>Higher analyst labor but no intentional substitution of a non-Gafta method.</t>
        </is>
      </c>
    </row>
    <row r="4">
      <c r="A4" s="49" t="inlineStr">
        <is>
          <t>C - Gafta strict/premium automation</t>
        </is>
      </c>
      <c r="B4" s="49" t="inlineStr">
        <is>
          <t>Premium automated full-COA package with reference Kjeldahl capability</t>
        </is>
      </c>
      <c r="C4" s="49" t="inlineStr">
        <is>
          <t>MYCO-01, MIN-01, MIN-02, MOIST-03, PROT-01, PROT-02, FAT-01, FIBER-01, STARCH-G3, COLOR-02, DENS-02, AA-01, AA-PREP-01, PREP-01, PREP-03, PREP-05, PREP-06, PREP-08, CALC-01</t>
        </is>
      </c>
      <c r="D4" s="52">
        <f>SUMIF('Instrument Options'!$S$2:$S$39,"Yes",'Instrument Options'!$J$2:$J$39)</f>
        <v/>
      </c>
      <c r="E4" s="52">
        <f>SUMIF('Instrument Options'!$S$2:$S$39,"Yes",'Instrument Options'!$K$2:$K$39)</f>
        <v/>
      </c>
      <c r="F4" s="49" t="inlineStr">
        <is>
          <t>Higher capital and lower routine labor.</t>
        </is>
      </c>
    </row>
    <row r="5">
      <c r="A5" s="49" t="inlineStr">
        <is>
          <t>D - Gafta compulsory feed core</t>
        </is>
      </c>
      <c r="B5" s="49" t="inlineStr">
        <is>
          <t>Core equipment for ash, fibre, moisture, oil and protein plus Gafta sample preparation</t>
        </is>
      </c>
      <c r="C5" s="49" t="inlineStr">
        <is>
          <t>MOIST-02, PROT-01, FAT-02, FIBER-06, PREP-01, PREP-03, PREP-05, PREP-07, PREP-08</t>
        </is>
      </c>
      <c r="D5" s="52">
        <f>SUMIF('Instrument Options'!$T$2:$T$39,"Yes",'Instrument Options'!$J$2:$J$39)</f>
        <v/>
      </c>
      <c r="E5" s="52">
        <f>SUMIF('Instrument Options'!$T$2:$T$39,"Yes",'Instrument Options'!$K$2:$K$39)</f>
        <v/>
      </c>
      <c r="F5" s="49" t="inlineStr">
        <is>
          <t>Excludes optional COA additions such as amino acids, color, density and starch.</t>
        </is>
      </c>
    </row>
    <row r="7">
      <c r="A7" t="inlineStr">
        <is>
          <t>Viewing tip</t>
        </is>
      </c>
      <c r="B7" t="inlineStr">
        <is>
          <t>Filter 'In Scenario A/B/C/D' to Yes on Instrument Options. The active sheet contains no ANKOM, NIR, enzymatic starch, TGA801, or unproven alternative-extraction options.</t>
        </is>
      </c>
    </row>
  </sheetData>
  <autoFilter ref="A1:F5"/>
  <mergeCells count="1">
    <mergeCell ref="B7:F7"/>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A64D79"/>
    <outlinePr summaryBelow="1" summaryRight="1"/>
    <pageSetUpPr fitToPage="1"/>
  </sheetPr>
  <dimension ref="A1:C9"/>
  <sheetViews>
    <sheetView showGridLines="0" workbookViewId="0">
      <pane ySplit="1" topLeftCell="A2" activePane="bottomLeft" state="frozen"/>
      <selection pane="bottomLeft" activeCell="A1" sqref="A1"/>
    </sheetView>
  </sheetViews>
  <sheetFormatPr baseColWidth="8" defaultRowHeight="15"/>
  <cols>
    <col width="26" customWidth="1" min="1" max="1"/>
    <col width="90" customWidth="1" min="2" max="2"/>
    <col width="65" customWidth="1" min="3" max="3"/>
  </cols>
  <sheetData>
    <row r="1">
      <c r="A1" s="48" t="inlineStr">
        <is>
          <t>Topic</t>
        </is>
      </c>
      <c r="B1" s="48" t="inlineStr">
        <is>
          <t>Note</t>
        </is>
      </c>
      <c r="C1" s="48" t="inlineStr">
        <is>
          <t>Source / URL</t>
        </is>
      </c>
    </row>
    <row r="2">
      <c r="A2" s="49" t="inlineStr">
        <is>
          <t>Gafta method rule</t>
        </is>
      </c>
      <c r="B2" s="49" t="inlineStr">
        <is>
          <t>Gafta Approved Analysts must always select a method from the current No.130 register for contractual and ring-test analysis. This workbook no longer relies on the obsolete general statement allowing any instrumental technique.</t>
        </is>
      </c>
      <c r="C2" s="34" t="inlineStr">
        <is>
          <t>https://www.gafta.com/register-of-analysis-methods/</t>
        </is>
      </c>
    </row>
    <row r="3">
      <c r="A3" s="49" t="inlineStr">
        <is>
          <t>Feed ring-test compulsory methods</t>
        </is>
      </c>
      <c r="B3" s="49" t="inlineStr">
        <is>
          <t>Feed approval requires Ash, Fibre, Moisture, Oil and Protein using the appropriate ISO methods in the Gafta No.130 register.</t>
        </is>
      </c>
      <c r="C3" s="34" t="inlineStr">
        <is>
          <t>https://www.gafta.com/media/e5nfkyfa/gafta-ring-test-scheme-protocol-v2-july-2026.pdf</t>
        </is>
      </c>
    </row>
    <row r="4">
      <c r="A4" s="49" t="inlineStr">
        <is>
          <t>No-method-listed rule</t>
        </is>
      </c>
      <c r="B4" s="49" t="inlineStr">
        <is>
          <t>Where Gafta has not specified a method for a requested analysis, the parties should agree the method. Those tests are labeled as customer-agreed, not as Gafta No.130 methods.</t>
        </is>
      </c>
      <c r="C4" s="34" t="inlineStr">
        <is>
          <t>https://www.gafta.com/media/uruntizb/introduction.pdf</t>
        </is>
      </c>
    </row>
    <row r="5">
      <c r="A5" s="49" t="inlineStr">
        <is>
          <t>Removed instruments</t>
        </is>
      </c>
      <c r="B5" s="49" t="inlineStr">
        <is>
          <t>ANKOM DELTA/XT15, NIR options, Fibertec 1023 dietary fiber, AOAC 996.11 starch kit/plate reader, and non-ISO-6492 extraction options were removed from the active Gafta-first purchasing list.</t>
        </is>
      </c>
      <c r="C5" s="34" t="inlineStr">
        <is>
          <t>https://www.gafta.com/register-of-analysis-methods/</t>
        </is>
      </c>
    </row>
    <row r="6">
      <c r="A6" s="49" t="inlineStr">
        <is>
          <t>TGA801 status</t>
        </is>
      </c>
      <c r="B6" s="49" t="inlineStr">
        <is>
          <t>TGA801 was moved to Hold because the published workbook method references were AOAC 930.15 and AOAC 942.05, not exact Gafta ISO 6496 and ISO 5984. It may be reinstated only with written exact-method evidence.</t>
        </is>
      </c>
      <c r="C6" s="34" t="inlineStr">
        <is>
          <t>https://www.leco.com/products/thermogravimetric-analyzer/</t>
        </is>
      </c>
    </row>
    <row r="7">
      <c r="A7" s="49" t="inlineStr">
        <is>
          <t>Gafta starch</t>
        </is>
      </c>
      <c r="B7" s="49" t="inlineStr">
        <is>
          <t>Gafta Method 22.0 requires ISO 6493 polarimetry. Enzymatic AOAC 996.11 options were removed from the active sheet. ISO 6493 matrix applicability to DDGS should be confirmed because the standard identifies some optically active matrices, including yeast-containing products, as potential limitations.</t>
        </is>
      </c>
      <c r="C7" s="34" t="inlineStr">
        <is>
          <t>https://www.iso.org/standard/12866.html</t>
        </is>
      </c>
    </row>
    <row r="8">
      <c r="A8" s="49" t="inlineStr">
        <is>
          <t>Customer COA conflict</t>
        </is>
      </c>
      <c r="B8" s="49" t="inlineStr">
        <is>
          <t>The supplied customer COA uses several non-Gafta methods, including ANKOM fiber and AOAC 996.11 starch. Under the new purchasing priority, those exact-method replication options are excluded unless later approved as separate customer-only lanes.</t>
        </is>
      </c>
      <c r="C8" s="49" t="inlineStr">
        <is>
          <t>User-provided COA</t>
        </is>
      </c>
    </row>
    <row r="9">
      <c r="A9" s="49" t="inlineStr">
        <is>
          <t>Existing instruments</t>
        </is>
      </c>
      <c r="B9" s="49" t="inlineStr">
        <is>
          <t>AIT already owns a Shimadzu LCMS-8040RX and ICP-OES. The LCMS can use the Gafta-permitted MS detection for aflatoxins only when the rest of ISO 17375 is followed; ICP is expressly permitted for the Gafta mineral/sodium methods stated in the register.</t>
        </is>
      </c>
      <c r="C9" s="34" t="inlineStr">
        <is>
          <t>https://www.gafta.com/register-of-analysis-methods/</t>
        </is>
      </c>
    </row>
  </sheetData>
  <autoFilter ref="A1:C9"/>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9" r:id="rId7"/>
  </hyperlinks>
  <pageMargins left="0.75" right="0.75" top="1" bottom="1" header="0.5" footer="0.5"/>
  <pageSetup orientation="landscape" fitToHeight="0" fitToWidth="1"/>
  <tableParts count="1">
    <tablePart xmlns:r="http://schemas.openxmlformats.org/officeDocument/2006/relationships" r:id="rId8"/>
  </tableParts>
</worksheet>
</file>

<file path=xl/worksheets/sheet8.xml><?xml version="1.0" encoding="utf-8"?>
<worksheet xmlns="http://schemas.openxmlformats.org/spreadsheetml/2006/main">
  <sheetPr>
    <tabColor rgb="007F7F7F"/>
    <outlinePr summaryBelow="1" summaryRight="1"/>
    <pageSetUpPr fitToPage="1"/>
  </sheetPr>
  <dimension ref="A1:B85"/>
  <sheetViews>
    <sheetView showGridLines="0" workbookViewId="0">
      <pane ySplit="1" topLeftCell="A2" activePane="bottomLeft" state="frozen"/>
      <selection pane="bottomLeft" activeCell="A1" sqref="A1"/>
    </sheetView>
  </sheetViews>
  <sheetFormatPr baseColWidth="8" defaultRowHeight="15"/>
  <cols>
    <col width="22" customWidth="1" min="1" max="1"/>
    <col width="80" customWidth="1" min="2" max="2"/>
  </cols>
  <sheetData>
    <row r="1">
      <c r="A1" s="6" t="inlineStr">
        <is>
          <t>Key</t>
        </is>
      </c>
      <c r="B1" s="6" t="inlineStr">
        <is>
          <t>URL</t>
        </is>
      </c>
    </row>
    <row r="2">
      <c r="A2" s="5" t="inlineStr">
        <is>
          <t>ankom_delta</t>
        </is>
      </c>
      <c r="B2" s="34" t="inlineStr">
        <is>
          <t>https://www.ankom.com/product-catalog/ankom-delta-fiber-analyzer</t>
        </is>
      </c>
    </row>
    <row r="3">
      <c r="A3" s="5" t="inlineStr">
        <is>
          <t>ankom_delta_price</t>
        </is>
      </c>
      <c r="B3" s="34" t="inlineStr">
        <is>
          <t>https://www.midlandsci.com/601196.html</t>
        </is>
      </c>
    </row>
    <row r="4">
      <c r="A4" s="5" t="inlineStr">
        <is>
          <t>ankom_xt15</t>
        </is>
      </c>
      <c r="B4" s="34" t="inlineStr">
        <is>
          <t>https://www.ankom.com/product-catalog/XT15-extractor</t>
        </is>
      </c>
    </row>
    <row r="5">
      <c r="A5" s="5" t="inlineStr">
        <is>
          <t>ankom_xt15_price</t>
        </is>
      </c>
      <c r="B5" s="34" t="inlineStr">
        <is>
          <t>https://www.vwr.com/ca/en/product/NA2674220/ankom-xt15-extractor-120v</t>
        </is>
      </c>
    </row>
    <row r="6">
      <c r="A6" s="5" t="inlineStr">
        <is>
          <t>aocs_ddgs</t>
        </is>
      </c>
      <c r="B6" s="34" t="inlineStr">
        <is>
          <t>https://www.aocs.org/laboratory-proficiency-program/ddgs-from-corn-laboratory-proficiency-testing/</t>
        </is>
      </c>
    </row>
    <row r="7">
      <c r="A7" s="5" t="inlineStr">
        <is>
          <t>aocs_ref</t>
        </is>
      </c>
      <c r="B7" s="34" t="inlineStr">
        <is>
          <t>https://www.aocs.org/quality-reference-materials/ddgs-from-corn-meal-corn-meal-quality-reference-material/</t>
        </is>
      </c>
    </row>
    <row r="8">
      <c r="A8" s="5" t="inlineStr">
        <is>
          <t>binder_fd115</t>
        </is>
      </c>
      <c r="B8" s="34" t="inlineStr">
        <is>
          <t>https://www.binder-world.com/int-en/products/drying-ovens/product/fd-115</t>
        </is>
      </c>
    </row>
    <row r="9">
      <c r="A9" s="5" t="inlineStr">
        <is>
          <t>buchi_e500</t>
        </is>
      </c>
      <c r="B9" s="34" t="inlineStr">
        <is>
          <t>https://www.buchi.com/en/products/instruments/fatextractor-e-500</t>
        </is>
      </c>
    </row>
    <row r="10">
      <c r="A10" s="5" t="inlineStr">
        <is>
          <t>copley_jv</t>
        </is>
      </c>
      <c r="B10" s="34" t="inlineStr">
        <is>
          <t>https://www.copleyscientific.com/pharmaceutical-testing/powder-testing/tapped-density-jvi-series/</t>
        </is>
      </c>
    </row>
    <row r="11">
      <c r="A11" s="5" t="inlineStr">
        <is>
          <t>erweka_svm</t>
        </is>
      </c>
      <c r="B11" s="34" t="inlineStr">
        <is>
          <t>https://www.erweka.com/products/physical-testers/tapped-density-tester/svm-ii/</t>
        </is>
      </c>
    </row>
    <row r="12">
      <c r="A12" s="5" t="inlineStr">
        <is>
          <t>fisher_soxtec_8000</t>
        </is>
      </c>
      <c r="B12" s="34" t="inlineStr">
        <is>
          <t>https://www.fishersci.com/shop/products/foss-soxtec-8000-extraction-systems-extractable-matter/TCS8000800G</t>
        </is>
      </c>
    </row>
    <row r="13">
      <c r="A13" s="5" t="inlineStr">
        <is>
          <t>foss_cm290</t>
        </is>
      </c>
      <c r="B13" s="34" t="inlineStr">
        <is>
          <t>https://www.fossanalytics.com/en/products/cm-290-cemotec</t>
        </is>
      </c>
    </row>
    <row r="14">
      <c r="A14" s="5" t="inlineStr">
        <is>
          <t>foss_ct293</t>
        </is>
      </c>
      <c r="B14" s="34" t="inlineStr">
        <is>
          <t>https://www.fossanalytics.com/en/products/ct-293-cyclotec</t>
        </is>
      </c>
    </row>
    <row r="15">
      <c r="A15" s="5" t="inlineStr">
        <is>
          <t>foss_ds2500</t>
        </is>
      </c>
      <c r="B15" s="34" t="inlineStr">
        <is>
          <t>https://www.fossanalytics.com/-/media/files/documents/brochuresanddatasheets/products/nirs-ds2500-f-feed-analyser/nirs-ds2500-f-solution-brochure-gb.pdf</t>
        </is>
      </c>
    </row>
    <row r="16">
      <c r="A16" s="5" t="inlineStr">
        <is>
          <t>foss_ds3</t>
        </is>
      </c>
      <c r="B16" s="34" t="inlineStr">
        <is>
          <t>https://www.fossanalytics.com/en/products/nirs-ds3-feed</t>
        </is>
      </c>
    </row>
    <row r="17">
      <c r="A17" s="5" t="inlineStr">
        <is>
          <t>foss_fibertec_1023</t>
        </is>
      </c>
      <c r="B17" s="34" t="inlineStr">
        <is>
          <t>https://www.fossanalytics.com/products/fibertec1023</t>
        </is>
      </c>
    </row>
    <row r="18">
      <c r="A18" s="5" t="inlineStr">
        <is>
          <t>foss_fibertec_8000</t>
        </is>
      </c>
      <c r="B18" s="34" t="inlineStr">
        <is>
          <t>https://www.fossanalytics.com/en/products/fibertec-8000</t>
        </is>
      </c>
    </row>
    <row r="19">
      <c r="A19" s="5" t="inlineStr">
        <is>
          <t>foss_fibertec_brochure</t>
        </is>
      </c>
      <c r="B19" s="34" t="inlineStr">
        <is>
          <t>https://www.gerber-instruments.com/files/gerber-instruments_files/pdf/FOSS/FOSS%20Chemie/Fibertec/Fibertec_8000_Solution_Brochure_GB%20pdf.pdf</t>
        </is>
      </c>
    </row>
    <row r="20">
      <c r="A20" s="5" t="inlineStr">
        <is>
          <t>foss_kn295</t>
        </is>
      </c>
      <c r="B20" s="34" t="inlineStr">
        <is>
          <t>https://www.fossanalytics.com/en/products/kn-295-knifetec</t>
        </is>
      </c>
    </row>
    <row r="21">
      <c r="A21" s="5" t="inlineStr">
        <is>
          <t>foss_soxtec_8000</t>
        </is>
      </c>
      <c r="B21" s="34" t="inlineStr">
        <is>
          <t>https://www.fossanalytics.com/en/products/soxtec-8000</t>
        </is>
      </c>
    </row>
    <row r="22">
      <c r="A22" s="5" t="inlineStr">
        <is>
          <t>foss_st255</t>
        </is>
      </c>
      <c r="B22" s="34" t="inlineStr">
        <is>
          <t>https://www.fossanalytics.com/products/soxtec_labtec-st-255</t>
        </is>
      </c>
    </row>
    <row r="23">
      <c r="A23" s="5" t="inlineStr">
        <is>
          <t>fritsch_p19</t>
        </is>
      </c>
      <c r="B23" s="34" t="inlineStr">
        <is>
          <t>https://www.fritsch-international.com/sample-preparation/milling/cutting-mills/details/product/pulverisette-19-50-700-rpm/</t>
        </is>
      </c>
    </row>
    <row r="24">
      <c r="A24" s="5" t="inlineStr">
        <is>
          <t>gafta_analysts</t>
        </is>
      </c>
      <c r="B24" s="34" t="inlineStr">
        <is>
          <t>https://www.gafta.com/approved-registers/analysts/</t>
        </is>
      </c>
    </row>
    <row r="25">
      <c r="A25" s="5" t="inlineStr">
        <is>
          <t>gafta_register</t>
        </is>
      </c>
      <c r="B25" s="34" t="inlineStr">
        <is>
          <t>https://www.gafta.com/register-of-analysis-methods/</t>
        </is>
      </c>
    </row>
    <row r="26">
      <c r="A26" s="5" t="inlineStr">
        <is>
          <t>gardco_tap</t>
        </is>
      </c>
      <c r="B26" s="34" t="inlineStr">
        <is>
          <t>https://www.gardco.com/product/tap-density-testers/01tTr00000BbcbTIAR</t>
        </is>
      </c>
    </row>
    <row r="27">
      <c r="A27" s="5" t="inlineStr">
        <is>
          <t>gerhardt_soxtherm</t>
        </is>
      </c>
      <c r="B27" s="34" t="inlineStr">
        <is>
          <t>https://www.gerhardt.de/en/products/rapid-extraction-system-soxtherm/</t>
        </is>
      </c>
    </row>
    <row r="28">
      <c r="A28" s="5" t="inlineStr">
        <is>
          <t>gilson_1mm_sieve</t>
        </is>
      </c>
      <c r="B28" s="34" t="inlineStr">
        <is>
          <t>https://www.globalgilson.com/8-inch-sieve-all-stainless-full-height-number-18</t>
        </is>
      </c>
    </row>
    <row r="29">
      <c r="A29" s="5" t="inlineStr">
        <is>
          <t>hach_dr3900</t>
        </is>
      </c>
      <c r="B29" s="34" t="inlineStr">
        <is>
          <t>https://www.hach.com/p-dr3900-laboratory-vis-spectrophotometer-with-rfid-technology/LPV440.99.00012</t>
        </is>
      </c>
    </row>
    <row r="30">
      <c r="A30" s="5" t="inlineStr">
        <is>
          <t>hach_dr6000</t>
        </is>
      </c>
      <c r="B30" s="34" t="inlineStr">
        <is>
          <t>https://www.hach.com/p-dr6000-uv-vis-spectrophotometer-with-rfid-technology/LPV441.99.00012</t>
        </is>
      </c>
    </row>
    <row r="31">
      <c r="A31" s="5" t="inlineStr">
        <is>
          <t>hitachi_la8080</t>
        </is>
      </c>
      <c r="B31" s="34" t="inlineStr">
        <is>
          <t>https://www.hitachi-hightech.com/global/en/products/analytical-systems/hplc/amino-acid-analyzers/la8080.html</t>
        </is>
      </c>
    </row>
    <row r="32">
      <c r="A32" s="5" t="inlineStr">
        <is>
          <t>humboldt_1mm_sieve</t>
        </is>
      </c>
      <c r="B32" s="34" t="inlineStr">
        <is>
          <t>https://www.humboldtmfg.com/sieves-8-dia-stainless-frame-and-mesh-no-18-100-mm-full-height-2-50-mm.html</t>
        </is>
      </c>
    </row>
    <row r="33">
      <c r="A33" s="5" t="inlineStr">
        <is>
          <t>hunter_colorflex_ez</t>
        </is>
      </c>
      <c r="B33" s="34" t="inlineStr">
        <is>
          <t>https://www.hunterlab.com/en/products/benchtop-spectrophotometers/colorflex-ez/</t>
        </is>
      </c>
    </row>
    <row r="34">
      <c r="A34" s="5" t="inlineStr">
        <is>
          <t>hunter_colorflex_l2</t>
        </is>
      </c>
      <c r="B34" s="34" t="inlineStr">
        <is>
          <t>https://www.hunterlab.com/en/products/benchtop-spectrophotometers/colorflex-l2/</t>
        </is>
      </c>
    </row>
    <row r="35">
      <c r="A35" s="5" t="inlineStr">
        <is>
          <t>hunter_l2_price</t>
        </is>
      </c>
      <c r="B35" s="34" t="inlineStr">
        <is>
          <t>https://www.midlandsci.com/655590.html</t>
        </is>
      </c>
    </row>
    <row r="36">
      <c r="A36" s="5" t="inlineStr">
        <is>
          <t>iso_6492</t>
        </is>
      </c>
      <c r="B36" s="34" t="inlineStr">
        <is>
          <t>https://www.iso.org/standard/12865.html</t>
        </is>
      </c>
    </row>
    <row r="37">
      <c r="A37" s="5" t="inlineStr">
        <is>
          <t>iso_6496</t>
        </is>
      </c>
      <c r="B37" s="34" t="inlineStr">
        <is>
          <t>https://www.iso.org/standard/12871.html</t>
        </is>
      </c>
    </row>
    <row r="38">
      <c r="A38" s="5" t="inlineStr">
        <is>
          <t>konica_cr400</t>
        </is>
      </c>
      <c r="B38" s="34" t="inlineStr">
        <is>
          <t>https://sensing.konicaminolta.us/us/products/cr-400-chroma-meter-colorimeter/</t>
        </is>
      </c>
    </row>
    <row r="39">
      <c r="A39" s="5" t="inlineStr">
        <is>
          <t>kpm_spectrastar</t>
        </is>
      </c>
      <c r="B39" s="34" t="inlineStr">
        <is>
          <t>https://www.kpmanalytics.com/products/moisture-compositional/spectrastar-xt-r</t>
        </is>
      </c>
    </row>
    <row r="40">
      <c r="A40" s="5" t="inlineStr">
        <is>
          <t>leco_828</t>
        </is>
      </c>
      <c r="B40" s="34" t="inlineStr">
        <is>
          <t>https://www.leco.com/products/828-series/</t>
        </is>
      </c>
    </row>
    <row r="41">
      <c r="A41" s="5" t="inlineStr">
        <is>
          <t>leco_methods</t>
        </is>
      </c>
      <c r="B41" s="34" t="inlineStr">
        <is>
          <t>https://www.leco.com/resources/methods/</t>
        </is>
      </c>
    </row>
    <row r="42">
      <c r="A42" s="5" t="inlineStr">
        <is>
          <t>leco_tga801</t>
        </is>
      </c>
      <c r="B42" s="34" t="inlineStr">
        <is>
          <t>https://www.leco.com/products/thermogravimetric-analyzer/</t>
        </is>
      </c>
    </row>
    <row r="43">
      <c r="A43" s="5" t="inlineStr">
        <is>
          <t>leco_tga_price</t>
        </is>
      </c>
      <c r="B43" s="34" t="inlineStr">
        <is>
          <t>https://www.genlabdirect.com/leco-corporation-pkg-tga801-single-unit-t-screen-pc-tga801-smc</t>
        </is>
      </c>
    </row>
    <row r="44">
      <c r="A44" s="5" t="inlineStr">
        <is>
          <t>megazyme_price</t>
        </is>
      </c>
      <c r="B44" s="34" t="inlineStr">
        <is>
          <t>https://www.midlandsci.com/MEGAZYME_K-TSTA</t>
        </is>
      </c>
    </row>
    <row r="45">
      <c r="A45" s="5" t="inlineStr">
        <is>
          <t>megazyme_starch</t>
        </is>
      </c>
      <c r="B45" s="34" t="inlineStr">
        <is>
          <t>https://www.megazyme.com/total-starch-assay-kit</t>
        </is>
      </c>
    </row>
    <row r="46">
      <c r="A46" s="5" t="inlineStr">
        <is>
          <t>nabertherm_l9</t>
        </is>
      </c>
      <c r="B46" s="34" t="inlineStr">
        <is>
          <t>https://nabertherm.com/en/products/labor/muffle-furnaces/muffle-furnaces-embedded-heating-elements-ceramic-muffle-1100-degc</t>
        </is>
      </c>
    </row>
    <row r="47">
      <c r="A47" s="5" t="inlineStr">
        <is>
          <t>nabertherm_l9_price</t>
        </is>
      </c>
      <c r="B47" s="34" t="inlineStr">
        <is>
          <t>https://www.genlabdirect.com/nabertherm-inc-muffle-furnace-l9-11-skm-b510-1100c-240v-lm094k1ln1-240</t>
        </is>
      </c>
    </row>
    <row r="48">
      <c r="A48" s="5" t="inlineStr">
        <is>
          <t>perten_da7250</t>
        </is>
      </c>
      <c r="B48" s="34" t="inlineStr">
        <is>
          <t>https://shop.perkinelmer.com/product/PER072500</t>
        </is>
      </c>
    </row>
    <row r="49">
      <c r="A49" s="5" t="inlineStr">
        <is>
          <t>retsch_as200_basic</t>
        </is>
      </c>
      <c r="B49" s="34" t="inlineStr">
        <is>
          <t>https://www.retsch.com/products/sieving/sieve-shakers/as-200-basic</t>
        </is>
      </c>
    </row>
    <row r="50">
      <c r="A50" s="5" t="inlineStr">
        <is>
          <t>retsch_as200_control</t>
        </is>
      </c>
      <c r="B50" s="34" t="inlineStr">
        <is>
          <t>https://www.retsch.com/products/sieving/sieve-shakers/as-200-control/</t>
        </is>
      </c>
    </row>
    <row r="51">
      <c r="A51" s="5" t="inlineStr">
        <is>
          <t>retsch_pt100</t>
        </is>
      </c>
      <c r="B51" s="34" t="inlineStr">
        <is>
          <t>https://www.retsch.com/products/assisting/sample-divider/pt-100/</t>
        </is>
      </c>
    </row>
    <row r="52">
      <c r="A52" s="5" t="inlineStr">
        <is>
          <t>retsch_zm300</t>
        </is>
      </c>
      <c r="B52" s="34" t="inlineStr">
        <is>
          <t>https://www.retsch.com/products/milling/rotor-mills/zm-300/</t>
        </is>
      </c>
    </row>
    <row r="53">
      <c r="A53" s="5" t="inlineStr">
        <is>
          <t>retsch_zm300_price</t>
        </is>
      </c>
      <c r="B53" s="34" t="inlineStr">
        <is>
          <t>https://certifiedmtp.com/retsch-zm-300-ultra-centrifugal-mill/</t>
        </is>
      </c>
    </row>
    <row r="54">
      <c r="A54" s="5" t="inlineStr">
        <is>
          <t>scott_vol_price</t>
        </is>
      </c>
      <c r="B54" s="34" t="inlineStr">
        <is>
          <t>https://www.labulk.com/labulk-0302-scott-volumeter-version-ups-616/</t>
        </is>
      </c>
    </row>
    <row r="55">
      <c r="A55" s="5" t="inlineStr">
        <is>
          <t>shimadzu_aa_post</t>
        </is>
      </c>
      <c r="B55" s="34" t="inlineStr">
        <is>
          <t>https://www.shimadzu.com/an/products/liquid-chromatography/hplc-system/amino-acid-analysis-system/index.html</t>
        </is>
      </c>
    </row>
    <row r="56">
      <c r="A56" s="5" t="inlineStr">
        <is>
          <t>shimadzu_aa_pre</t>
        </is>
      </c>
      <c r="B56" s="34" t="inlineStr">
        <is>
          <t>https://www.shimadzu.com/an/sites/shimadzu.com.an/files/pim/pim_document_file/applications/application_note/13742/apl220024.pdf</t>
        </is>
      </c>
    </row>
    <row r="57">
      <c r="A57" s="5" t="inlineStr">
        <is>
          <t>shimadzu_lcms8040</t>
        </is>
      </c>
      <c r="B57" s="34" t="inlineStr">
        <is>
          <t>https://www.shimadzu.com/an/resources/movies/LCMS-8040/index.html</t>
        </is>
      </c>
    </row>
    <row r="58">
      <c r="A58" s="5" t="inlineStr">
        <is>
          <t>shimadzu_myco_app</t>
        </is>
      </c>
      <c r="B58" s="34" t="inlineStr">
        <is>
          <t>https://www.ssi.shimadzu.com/sites/ssi.shimadzu.com/files/pim/pim_document_file/ssi/applications/application_note/14880/LCMS-8030_8040%20Application%20-%20Mycotoxins%20%28SSI%29.pdf</t>
        </is>
      </c>
    </row>
    <row r="59">
      <c r="A59" s="5" t="inlineStr">
        <is>
          <t>shimadzu_myco_pkg</t>
        </is>
      </c>
      <c r="B59" s="34" t="inlineStr">
        <is>
          <t>https://www.shimadzu.com/an/products/liquid-chromatograph-mass-spectrometry/lc-ms-system/lcmsms-method-package-for-mycotoxins/index.html</t>
        </is>
      </c>
    </row>
    <row r="60">
      <c r="A60" s="5" t="inlineStr">
        <is>
          <t>shimadzu_uv1900i</t>
        </is>
      </c>
      <c r="B60" s="34" t="inlineStr">
        <is>
          <t>https://www.shimadzu.com/an/products/uv-vis/uv-vis-nir-spectroscopy/uv-1900i-plus/index.html</t>
        </is>
      </c>
    </row>
    <row r="61">
      <c r="A61" s="5" t="inlineStr">
        <is>
          <t>soxhlet_labx</t>
        </is>
      </c>
      <c r="B61" s="34" t="inlineStr">
        <is>
          <t>https://www.labx.com/product/soxhlet-extractor</t>
        </is>
      </c>
    </row>
    <row r="62">
      <c r="A62" s="5" t="inlineStr">
        <is>
          <t>sykam_methods</t>
        </is>
      </c>
      <c r="B62" s="34" t="inlineStr">
        <is>
          <t>https://sykam.com/products/amino-acid-analyzers/</t>
        </is>
      </c>
    </row>
    <row r="63">
      <c r="A63" s="5" t="inlineStr">
        <is>
          <t>sykam_s433</t>
        </is>
      </c>
      <c r="B63" s="34" t="inlineStr">
        <is>
          <t>https://sykam.com/product/amino-acid-analyzers/s-433-amino-acid-analyzer/</t>
        </is>
      </c>
    </row>
    <row r="64">
      <c r="A64" s="5" t="inlineStr">
        <is>
          <t>thermo_evolution</t>
        </is>
      </c>
      <c r="B64" s="34" t="inlineStr">
        <is>
          <t>https://www.thermofisher.com/order/catalog/product/840-341400</t>
        </is>
      </c>
    </row>
    <row r="65">
      <c r="A65" s="5" t="inlineStr">
        <is>
          <t>thermo_f6010</t>
        </is>
      </c>
      <c r="B65" s="34" t="inlineStr">
        <is>
          <t>https://www.thermofisher.com/order/catalog/product/F6010</t>
        </is>
      </c>
    </row>
    <row r="66">
      <c r="A66" s="5" t="inlineStr">
        <is>
          <t>thermo_ogs100</t>
        </is>
      </c>
      <c r="B66" s="34" t="inlineStr">
        <is>
          <t>https://www.thermofisher.com/order/catalog/product/51028112</t>
        </is>
      </c>
    </row>
    <row r="67">
      <c r="A67" s="5" t="inlineStr">
        <is>
          <t>usp_616</t>
        </is>
      </c>
      <c r="B67" s="34" t="inlineStr">
        <is>
          <t>https://www.usp.org/sites/default/files/usp/document/harmonization/gen-chapter/bulk_density.pdf</t>
        </is>
      </c>
    </row>
    <row r="68">
      <c r="A68" s="5" t="inlineStr">
        <is>
          <t>velp_fiwe6_fisher</t>
        </is>
      </c>
      <c r="B68" s="34" t="inlineStr">
        <is>
          <t>https://www.fishersci.co.uk/shop/products/fiwe6-fiber-analyzer/11775714</t>
        </is>
      </c>
    </row>
    <row r="69">
      <c r="A69" s="5" t="inlineStr">
        <is>
          <t>velp_fiwe_advance</t>
        </is>
      </c>
      <c r="B69" s="34" t="inlineStr">
        <is>
          <t>https://www.velp.com/en-ww/fiwe-advance-automatic-fiber-analyzer.aspx</t>
        </is>
      </c>
    </row>
    <row r="70">
      <c r="A70" s="5" t="inlineStr">
        <is>
          <t>velp_fiwe_pdf</t>
        </is>
      </c>
      <c r="B70" s="34" t="inlineStr">
        <is>
          <t>https://www.velp.com/public/file/VELPFIWE-ADVANCEENrev06-316514.pdf</t>
        </is>
      </c>
    </row>
    <row r="71">
      <c r="A71" s="5" t="inlineStr">
        <is>
          <t>velp_ser148_fisher</t>
        </is>
      </c>
      <c r="B71" s="34" t="inlineStr">
        <is>
          <t>https://www.fishersci.com/shop/products/ser148-3-solvent-extractor/11392213</t>
        </is>
      </c>
    </row>
    <row r="72">
      <c r="A72" s="5" t="inlineStr">
        <is>
          <t>velp_ser158</t>
        </is>
      </c>
      <c r="B72" s="34" t="inlineStr">
        <is>
          <t>https://www.velp.com/en-ww/ser-158-series-automatic-solvent-extractor.aspx</t>
        </is>
      </c>
    </row>
    <row r="73">
      <c r="A73" t="inlineStr">
        <is>
          <t>gafta_register_current</t>
        </is>
      </c>
      <c r="B73" s="34" t="inlineStr">
        <is>
          <t>https://www.gafta.com/register-of-analysis-methods/</t>
        </is>
      </c>
    </row>
    <row r="74">
      <c r="A74" t="inlineStr">
        <is>
          <t>gafta_introduction_current</t>
        </is>
      </c>
      <c r="B74" s="34" t="inlineStr">
        <is>
          <t>https://www.gafta.com/media/uruntizb/introduction.pdf</t>
        </is>
      </c>
    </row>
    <row r="75">
      <c r="A75" t="inlineStr">
        <is>
          <t>gafta_ring_test_2026</t>
        </is>
      </c>
      <c r="B75" s="34" t="inlineStr">
        <is>
          <t>https://www.gafta.com/media/e5nfkyfa/gafta-ring-test-scheme-protocol-v2-july-2026.pdf</t>
        </is>
      </c>
    </row>
    <row r="76">
      <c r="A76" t="inlineStr">
        <is>
          <t>foss_st255_iso6492</t>
        </is>
      </c>
      <c r="B76" s="34" t="inlineStr">
        <is>
          <t>https://www.fossanalytics.com/-/media/files/documents/brochuresanddatasheets/products/soxtec/sc-247-soxcap-and-st-243-255-soxtec/st-255-soxtec-solution-brochure-gb.pdf</t>
        </is>
      </c>
    </row>
    <row r="77">
      <c r="A77" t="inlineStr">
        <is>
          <t>foss_soxtec8000_iso6492</t>
        </is>
      </c>
      <c r="B77" s="34" t="inlineStr">
        <is>
          <t>https://www.fossanalytics.com/-/media/files/documents/brochuresanddatasheets/products/soxtec/soxtec-8000/soxtec-8000-solution-brochure-gb.pdf</t>
        </is>
      </c>
    </row>
    <row r="78">
      <c r="A78" t="inlineStr">
        <is>
          <t>foss_fibertec8000_iso6865</t>
        </is>
      </c>
      <c r="B78" s="34" t="inlineStr">
        <is>
          <t>https://www.fossanalytics.com/-/media/files/documents/brochuresanddatasheets/products/fibertec-8000/fibertec_8000_solution_brochure_gb.pdf</t>
        </is>
      </c>
    </row>
    <row r="79">
      <c r="A79" t="inlineStr">
        <is>
          <t>foss_ft122</t>
        </is>
      </c>
      <c r="B79" s="34" t="inlineStr">
        <is>
          <t>https://www.fossanalytics.com/en/products/ft-122-fibertec</t>
        </is>
      </c>
    </row>
    <row r="80">
      <c r="A80" t="inlineStr">
        <is>
          <t>velp_fiwe_advance_iso6865</t>
        </is>
      </c>
      <c r="B80" s="34" t="inlineStr">
        <is>
          <t>https://www.velp.com/public/file/crude-fiber-determination-in-feed-weende-method-fiwe-advance-206314.pdf</t>
        </is>
      </c>
    </row>
    <row r="81">
      <c r="A81" t="inlineStr">
        <is>
          <t>velp_fiwe6_iso6865</t>
        </is>
      </c>
      <c r="B81" s="34" t="inlineStr">
        <is>
          <t>https://www.velp.com/public/file/crude-fiber-determination-in-dog-food-201431.pdf</t>
        </is>
      </c>
    </row>
    <row r="82">
      <c r="A82" t="inlineStr">
        <is>
          <t>iso6493</t>
        </is>
      </c>
      <c r="B82" s="34" t="inlineStr">
        <is>
          <t>https://www.iso.org/standard/12866.html</t>
        </is>
      </c>
    </row>
    <row r="83">
      <c r="A83" t="inlineStr">
        <is>
          <t>anton_paar_mcp</t>
        </is>
      </c>
      <c r="B83" s="34" t="inlineStr">
        <is>
          <t>https://www.anton-paar.com/corp-en/products/details/modular-compact-polarimeter-mcp/</t>
        </is>
      </c>
    </row>
    <row r="84">
      <c r="A84" t="inlineStr">
        <is>
          <t>rudolph_autopol_i</t>
        </is>
      </c>
      <c r="B84" s="34" t="inlineStr">
        <is>
          <t>https://rudolphresearch.com/products/polarimeters/autopol-i/</t>
        </is>
      </c>
    </row>
    <row r="85">
      <c r="A85" t="inlineStr">
        <is>
          <t>schmidt_unipol_v</t>
        </is>
      </c>
      <c r="B85" s="34" t="inlineStr">
        <is>
          <t>https://schmidt-haensch.com/product/unipol-v-digital-polarimeter/</t>
        </is>
      </c>
    </row>
  </sheetData>
  <autoFilter ref="A1:B72"/>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s>
  <pageMargins left="0.75" right="0.75" top="1" bottom="1" header="0.5" footer="0.5"/>
  <pageSetup orientation="landscape" fitToHeight="0" fitToWidth="1"/>
  <tableParts count="1">
    <tablePart xmlns:r="http://schemas.openxmlformats.org/officeDocument/2006/relationships" r:id="rId85"/>
  </tableParts>
</worksheet>
</file>

<file path=xl/worksheets/sheet9.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42" customWidth="1" min="3" max="3"/>
    <col width="45" customWidth="1" min="4" max="4"/>
    <col width="35" customWidth="1" min="5" max="5"/>
  </cols>
  <sheetData>
    <row r="1">
      <c r="A1" s="28" t="inlineStr">
        <is>
          <t>COA row</t>
        </is>
      </c>
      <c r="B1" s="28" t="inlineStr">
        <is>
          <t>Line item</t>
        </is>
      </c>
      <c r="C1" s="28" t="inlineStr">
        <is>
          <t>Common/standard equation</t>
        </is>
      </c>
      <c r="D1" s="28" t="inlineStr">
        <is>
          <t>Practical note</t>
        </is>
      </c>
      <c r="E1" s="28" t="inlineStr">
        <is>
          <t>Use in LIMS / reporting</t>
        </is>
      </c>
    </row>
    <row r="2">
      <c r="A2" s="30" t="n">
        <v>47</v>
      </c>
      <c r="B2" s="30" t="inlineStr">
        <is>
          <t>Acid detergent fiber (ADF)</t>
        </is>
      </c>
      <c r="C2" s="30" t="inlineStr">
        <is>
          <t>Apparent from provided COA: ADF ≈ Crude Fiber × 1.25</t>
        </is>
      </c>
      <c r="D2" s="30" t="inlineStr">
        <is>
          <t>This looks like a customer-specific calculation on the sample COA, not a universal standard. If ADF is a required reportable analyte, direct ADF measurement is preferred.</t>
        </is>
      </c>
      <c r="E2" s="30" t="inlineStr">
        <is>
          <t>Either calculate as a customer-specific field or replace with a measured ADF test.</t>
        </is>
      </c>
    </row>
    <row r="3">
      <c r="A3" s="30" t="n">
        <v>48</v>
      </c>
      <c r="B3" s="30" t="inlineStr">
        <is>
          <t>Digestible Energy (DE)</t>
        </is>
      </c>
      <c r="C3" s="30" t="inlineStr">
        <is>
          <t>DE (Mcal/lb) = TDN(%) × 0.02</t>
        </is>
      </c>
      <c r="D3" s="30" t="inlineStr">
        <is>
          <t>Standard cattle/feed conversion based on 1 lb TDN ≈ 2.0 Mcal DE.</t>
        </is>
      </c>
      <c r="E3" s="30" t="inlineStr">
        <is>
          <t>Store equation set version in LIMS; do not assume exact match to all customer COAs.</t>
        </is>
      </c>
    </row>
    <row r="4">
      <c r="A4" s="30" t="n">
        <v>49</v>
      </c>
      <c r="B4" s="30" t="inlineStr">
        <is>
          <t>Metabolizable Energy (ME)</t>
        </is>
      </c>
      <c r="C4" s="30" t="inlineStr">
        <is>
          <t>ME (Mcal/lb) = DE × 0.82</t>
        </is>
      </c>
      <c r="D4" s="30" t="inlineStr">
        <is>
          <t>Common ruminant approximation.</t>
        </is>
      </c>
      <c r="E4" s="30" t="inlineStr">
        <is>
          <t>Treat as a configurable equation set in LIMS.</t>
        </is>
      </c>
    </row>
    <row r="5">
      <c r="A5" s="30" t="n">
        <v>50</v>
      </c>
      <c r="B5" s="30" t="inlineStr">
        <is>
          <t>Net Energy Gain (NEg)</t>
        </is>
      </c>
      <c r="C5" s="30" t="inlineStr">
        <is>
          <t>NEg (Mcal/lb) = (TDN% × 0.01318) − 0.459</t>
        </is>
      </c>
      <c r="D5" s="30" t="inlineStr">
        <is>
          <t>Common feed/forage-style equation.</t>
        </is>
      </c>
      <c r="E5" s="30" t="inlineStr">
        <is>
          <t>LIMS configurable; note basis (AR vs DM).</t>
        </is>
      </c>
    </row>
    <row r="6">
      <c r="A6" s="30" t="n">
        <v>51</v>
      </c>
      <c r="B6" s="30" t="inlineStr">
        <is>
          <t>Net Energy Lactation (NEl)</t>
        </is>
      </c>
      <c r="C6" s="30" t="inlineStr">
        <is>
          <t>NEl (Mcal/lb) = (TDN% × 0.01114) − 0.054</t>
        </is>
      </c>
      <c r="D6" s="30" t="inlineStr">
        <is>
          <t>Common feed/forage-style equation.</t>
        </is>
      </c>
      <c r="E6" s="30" t="inlineStr">
        <is>
          <t>LIMS configurable; note basis (AR vs DM).</t>
        </is>
      </c>
    </row>
    <row r="7">
      <c r="A7" s="30" t="n">
        <v>52</v>
      </c>
      <c r="B7" s="30" t="inlineStr">
        <is>
          <t>Net Energy Maintenance (NEm)</t>
        </is>
      </c>
      <c r="C7" s="30" t="inlineStr">
        <is>
          <t>NEm (Mcal/lb) = (TDN% × 0.01318) − 0.132</t>
        </is>
      </c>
      <c r="D7" s="30" t="inlineStr">
        <is>
          <t>Common feed/forage-style equation.</t>
        </is>
      </c>
      <c r="E7" s="30" t="inlineStr">
        <is>
          <t>LIMS configurable; note basis (AR vs DM).</t>
        </is>
      </c>
    </row>
    <row r="8">
      <c r="A8" s="30" t="n">
        <v>53</v>
      </c>
      <c r="B8" s="30" t="inlineStr">
        <is>
          <t>Total Digestible Nutrients (TDN)</t>
        </is>
      </c>
      <c r="C8" s="30" t="inlineStr">
        <is>
          <t>True TDN = dCP + dCF + dNFE + (2.25 × dEE)</t>
        </is>
      </c>
      <c r="D8" s="30" t="inlineStr">
        <is>
          <t>In practice many labs use a validated prediction equation or feed library rather than a full digestibility trial. Exact COA replication usually requires the supplier/lab equation set.</t>
        </is>
      </c>
      <c r="E8" s="30" t="inlineStr">
        <is>
          <t>Use an approved equation set and version-control it in LIMS.</t>
        </is>
      </c>
    </row>
    <row r="9">
      <c r="A9" s="30" t="inlineStr">
        <is>
          <t>Common basis conversion</t>
        </is>
      </c>
      <c r="B9" s="30" t="inlineStr">
        <is>
          <t>Dry matter basis conversion</t>
        </is>
      </c>
      <c r="C9" s="30" t="inlineStr">
        <is>
          <t>Value_DM = Value_AR ÷ (Dry Matter fraction)</t>
        </is>
      </c>
      <c r="D9" s="30" t="inlineStr">
        <is>
          <t>Where Dry Matter fraction = Dry Matter% ÷ 100.</t>
        </is>
      </c>
      <c r="E9" s="30" t="inlineStr">
        <is>
          <t>Apply to protein, fat, fiber, energy, amino acids, etc. whenever both AR and DM reporting are needed.</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20" customWidth="1" min="1" max="1"/>
    <col width="34" customWidth="1" min="2" max="2"/>
    <col width="32" customWidth="1" min="3" max="3"/>
    <col width="25" customWidth="1" min="4" max="4"/>
    <col width="30" customWidth="1" min="5" max="5"/>
    <col width="24" customWidth="1" min="6" max="6"/>
    <col width="24" customWidth="1" min="7" max="7"/>
    <col width="32" customWidth="1" min="8" max="8"/>
    <col width="35" customWidth="1" min="9" max="9"/>
  </cols>
  <sheetData>
    <row r="1">
      <c r="A1" s="48" t="inlineStr">
        <is>
          <t>Option ID(s)</t>
        </is>
      </c>
      <c r="B1" s="48" t="inlineStr">
        <is>
          <t>Instrument / item</t>
        </is>
      </c>
      <c r="C1" s="48" t="inlineStr">
        <is>
          <t>Analyte / methods</t>
        </is>
      </c>
      <c r="D1" s="48" t="inlineStr">
        <is>
          <t>Electrical</t>
        </is>
      </c>
      <c r="E1" s="48" t="inlineStr">
        <is>
          <t>Ventilation / exhaust</t>
        </is>
      </c>
      <c r="F1" s="48" t="inlineStr">
        <is>
          <t>Plumbing / drain</t>
        </is>
      </c>
      <c r="G1" s="48" t="inlineStr">
        <is>
          <t>Gas</t>
        </is>
      </c>
      <c r="H1" s="48" t="inlineStr">
        <is>
          <t>Other site / furniture needs</t>
        </is>
      </c>
      <c r="I1" s="48" t="inlineStr">
        <is>
          <t>Comments</t>
        </is>
      </c>
    </row>
    <row r="2">
      <c r="A2" s="49" t="inlineStr">
        <is>
          <t>MYCO-01</t>
        </is>
      </c>
      <c r="B2" s="49" t="inlineStr">
        <is>
          <t>Existing Shimadzu LCMS-8040RX</t>
        </is>
      </c>
      <c r="C2" s="49" t="inlineStr">
        <is>
          <t>Aflatoxins under ISO 17375 with MS detection; other customer mycotoxins</t>
        </is>
      </c>
      <c r="D2" s="49" t="inlineStr">
        <is>
          <t>208-240V dedicated power; UPS recommended</t>
        </is>
      </c>
      <c r="E2" s="49" t="inlineStr">
        <is>
          <t>General lab HVAC; pump exhaust per OEM; keep away from dust</t>
        </is>
      </c>
      <c r="F2" s="49" t="inlineStr">
        <is>
          <t>None direct</t>
        </is>
      </c>
      <c r="G2" s="49" t="inlineStr">
        <is>
          <t>Nitrogen generator or high-purity N2 supply</t>
        </is>
      </c>
      <c r="H2" s="49" t="inlineStr">
        <is>
          <t>Clean instrument bench; solvent storage cabinet nearby</t>
        </is>
      </c>
      <c r="I2" s="49" t="inlineStr">
        <is>
          <t>Already owned in Prep Lab/Lab.</t>
        </is>
      </c>
    </row>
    <row r="3">
      <c r="A3" s="49" t="inlineStr">
        <is>
          <t>MIN-01</t>
        </is>
      </c>
      <c r="B3" s="49" t="inlineStr">
        <is>
          <t>Existing ICP-OES + existing Multiwave 5000</t>
        </is>
      </c>
      <c r="C3" s="49" t="inlineStr">
        <is>
          <t>Gafta Ca/Mg/Na and sodium methods where applicable; other customer minerals</t>
        </is>
      </c>
      <c r="D3" s="49" t="inlineStr">
        <is>
          <t>208-240V dedicated</t>
        </is>
      </c>
      <c r="E3" s="49" t="inlineStr">
        <is>
          <t>Instrument exhaust and microwave venting per OEM</t>
        </is>
      </c>
      <c r="F3" s="49" t="inlineStr">
        <is>
          <t>DI water nearby helpful; digestion waste management</t>
        </is>
      </c>
      <c r="G3" s="49" t="inlineStr">
        <is>
          <t>Argon supply for ICP</t>
        </is>
      </c>
      <c r="H3" s="49" t="inlineStr">
        <is>
          <t>Acid-resistant prep bench, chemical storage</t>
        </is>
      </c>
      <c r="I3" s="49" t="inlineStr">
        <is>
          <t>Already owned in Prep Lab/Lab.</t>
        </is>
      </c>
    </row>
    <row r="4">
      <c r="A4" s="49" t="inlineStr">
        <is>
          <t>MIN-02 / MIN-03</t>
        </is>
      </c>
      <c r="B4" s="49" t="inlineStr">
        <is>
          <t>UV-Vis spectrophotometer</t>
        </is>
      </c>
      <c r="C4" s="49" t="inlineStr">
        <is>
          <t>Gafta ISO 6491 phosphorus</t>
        </is>
      </c>
      <c r="D4" s="49" t="inlineStr">
        <is>
          <t>120V or 100-240V benchtop service</t>
        </is>
      </c>
      <c r="E4" s="49" t="inlineStr">
        <is>
          <t>Normal HVAC</t>
        </is>
      </c>
      <c r="F4" s="49" t="inlineStr">
        <is>
          <t>None</t>
        </is>
      </c>
      <c r="G4" s="49" t="inlineStr">
        <is>
          <t>None</t>
        </is>
      </c>
      <c r="H4" s="49" t="inlineStr">
        <is>
          <t>Stable clean bench, matched cells, reagent prep space</t>
        </is>
      </c>
      <c r="I4" s="49" t="inlineStr">
        <is>
          <t>Run full ISO 6491 wet chemistry.</t>
        </is>
      </c>
    </row>
    <row r="5">
      <c r="A5" s="49" t="inlineStr">
        <is>
          <t>STARCH-G1 / G2 / G3</t>
        </is>
      </c>
      <c r="B5" s="49" t="inlineStr">
        <is>
          <t>Automatic polarimeter</t>
        </is>
      </c>
      <c r="C5" s="49" t="inlineStr">
        <is>
          <t>Gafta ISO 6493 starch</t>
        </is>
      </c>
      <c r="D5" s="49" t="inlineStr">
        <is>
          <t>120V bench power</t>
        </is>
      </c>
      <c r="E5" s="49" t="inlineStr">
        <is>
          <t>Normal HVAC</t>
        </is>
      </c>
      <c r="F5" s="49" t="inlineStr">
        <is>
          <t>Water bath/circulator connection if required by selected temperature-controlled tube</t>
        </is>
      </c>
      <c r="G5" s="49" t="inlineStr">
        <is>
          <t>None</t>
        </is>
      </c>
      <c r="H5" s="49" t="inlineStr">
        <is>
          <t>Stable clean bench; 200 mm tube; temperature monitoring; acid-resistant sample-prep area nearby</t>
        </is>
      </c>
      <c r="I5" s="49" t="inlineStr">
        <is>
          <t>Confirm ISO 6493 applicability to DDGS before purchase.</t>
        </is>
      </c>
    </row>
    <row r="6">
      <c r="A6" s="49" t="inlineStr">
        <is>
          <t>MOIST-02 / MOIST-03</t>
        </is>
      </c>
      <c r="B6" s="49" t="inlineStr">
        <is>
          <t>Reference drying oven + muffle furnace</t>
        </is>
      </c>
      <c r="C6" s="49" t="inlineStr">
        <is>
          <t>Gafta ISO 6496 moisture and ISO 5984 ash; ISO 6865 crucible drying/ashing</t>
        </is>
      </c>
      <c r="D6" s="49" t="inlineStr">
        <is>
          <t>208-240V dedicated circuits</t>
        </is>
      </c>
      <c r="E6" s="49" t="inlineStr">
        <is>
          <t>Heat-producing equipment; room exhaust/canopy as required by facility design</t>
        </is>
      </c>
      <c r="F6" s="49" t="inlineStr">
        <is>
          <t>None</t>
        </is>
      </c>
      <c r="G6" s="49" t="inlineStr">
        <is>
          <t>None</t>
        </is>
      </c>
      <c r="H6" s="49" t="inlineStr">
        <is>
          <t>Heat-resistant stand, tongs and desiccator bench</t>
        </is>
      </c>
      <c r="I6" s="49" t="inlineStr">
        <is>
          <t>These are the primary Gafta systems; TGA801 is not in the active list.</t>
        </is>
      </c>
    </row>
    <row r="7">
      <c r="A7" s="49" t="inlineStr">
        <is>
          <t>PROT-01</t>
        </is>
      </c>
      <c r="B7" s="49" t="inlineStr">
        <is>
          <t>LECO 828P / FP828</t>
        </is>
      </c>
      <c r="C7" s="49" t="inlineStr">
        <is>
          <t>Gafta ISO 16634-1 Dumas protein</t>
        </is>
      </c>
      <c r="D7" s="49" t="inlineStr">
        <is>
          <t>208-240V dedicated</t>
        </is>
      </c>
      <c r="E7" s="49" t="inlineStr">
        <is>
          <t>Combustion exhaust per OEM</t>
        </is>
      </c>
      <c r="F7" s="49" t="inlineStr">
        <is>
          <t>None</t>
        </is>
      </c>
      <c r="G7" s="49" t="inlineStr">
        <is>
          <t>Oxygen and carrier gas per configured ISO method</t>
        </is>
      </c>
      <c r="H7" s="49" t="inlineStr">
        <is>
          <t>Clean instrument bench; autosampler clearance</t>
        </is>
      </c>
      <c r="I7" s="49" t="inlineStr">
        <is>
          <t>Require exact ISO 16634-1 method package.</t>
        </is>
      </c>
    </row>
    <row r="8">
      <c r="A8" s="49" t="inlineStr">
        <is>
          <t>PROT-02</t>
        </is>
      </c>
      <c r="B8" s="49" t="inlineStr">
        <is>
          <t>Automated Kjeldahl package</t>
        </is>
      </c>
      <c r="C8" s="49" t="inlineStr">
        <is>
          <t>Gafta ISO 5983-2 / accepted ISO 5983-1 reference protein</t>
        </is>
      </c>
      <c r="D8" s="49" t="inlineStr">
        <is>
          <t>208-240V depending digestion/distillation package</t>
        </is>
      </c>
      <c r="E8" s="49" t="inlineStr">
        <is>
          <t>Acid digestion exhaust / scrubber or hood</t>
        </is>
      </c>
      <c r="F8" s="49" t="inlineStr">
        <is>
          <t>Cooling water and drain depending configuration</t>
        </is>
      </c>
      <c r="G8" s="49" t="inlineStr">
        <is>
          <t>None</t>
        </is>
      </c>
      <c r="H8" s="49" t="inlineStr">
        <is>
          <t>Acid-resistant bench, reagent tanks, digestion tube handling</t>
        </is>
      </c>
      <c r="I8" s="49" t="inlineStr">
        <is>
          <t>Optional reference/premium route.</t>
        </is>
      </c>
    </row>
    <row r="9">
      <c r="A9" s="49" t="inlineStr">
        <is>
          <t>FAT-01 / FAT-02 / FAT-06</t>
        </is>
      </c>
      <c r="B9" s="49" t="inlineStr">
        <is>
          <t>FOSS Soxtec 8000, ST 255 or conventional Soxhlet</t>
        </is>
      </c>
      <c r="C9" s="49" t="inlineStr">
        <is>
          <t>Gafta ISO 6492 Procedure A oil/fat</t>
        </is>
      </c>
      <c r="D9" s="49" t="inlineStr">
        <is>
          <t>Typically 208-240V</t>
        </is>
      </c>
      <c r="E9" s="49" t="inlineStr">
        <is>
          <t>Fume hood or interlocked solvent exhaust</t>
        </is>
      </c>
      <c r="F9" s="49" t="inlineStr">
        <is>
          <t>Cooling water and drain for FOSS systems; solvent waste management</t>
        </is>
      </c>
      <c r="G9" s="49" t="inlineStr">
        <is>
          <t>None</t>
        </is>
      </c>
      <c r="H9" s="49" t="inlineStr">
        <is>
          <t>Flammables cabinet, solvent waste, fire-safety clearance</t>
        </is>
      </c>
      <c r="I9" s="49" t="inlineStr">
        <is>
          <t>Procedure A only; no Randall/ANKOM alternatives in active list.</t>
        </is>
      </c>
    </row>
    <row r="10">
      <c r="A10" s="49" t="inlineStr">
        <is>
          <t>FIBER-01 / 02 / 03 / 06</t>
        </is>
      </c>
      <c r="B10" s="49" t="inlineStr">
        <is>
          <t>Fibertec or FIWE crucible system</t>
        </is>
      </c>
      <c r="C10" s="49" t="inlineStr">
        <is>
          <t>Gafta ISO 6865 crude fibre; customer-agreed NDF/ADF</t>
        </is>
      </c>
      <c r="D10" s="49" t="inlineStr">
        <is>
          <t>120V or 208-240V by model</t>
        </is>
      </c>
      <c r="E10" s="49" t="inlineStr">
        <is>
          <t>Acid/alkali handling; hood-adjacent siting helpful</t>
        </is>
      </c>
      <c r="F10" s="49" t="inlineStr">
        <is>
          <t>Water source and drain highly desirable</t>
        </is>
      </c>
      <c r="G10" s="49" t="inlineStr">
        <is>
          <t>None</t>
        </is>
      </c>
      <c r="H10" s="49" t="inlineStr">
        <is>
          <t>Corrosion-resistant wet-chem bench, reagent storage, direct path to oven/furnace</t>
        </is>
      </c>
      <c r="I10" s="49" t="inlineStr">
        <is>
          <t>No ANKOM system in active list.</t>
        </is>
      </c>
    </row>
    <row r="11">
      <c r="A11" s="49" t="inlineStr">
        <is>
          <t>COLOR-01 / 02 / 03</t>
        </is>
      </c>
      <c r="B11" s="49" t="inlineStr">
        <is>
          <t>HunterLab / color instrument</t>
        </is>
      </c>
      <c r="C11" s="49" t="inlineStr">
        <is>
          <t>Customer-agreed Hunter L / L*a*b*</t>
        </is>
      </c>
      <c r="D11" s="49" t="inlineStr">
        <is>
          <t>120V</t>
        </is>
      </c>
      <c r="E11" s="49" t="inlineStr">
        <is>
          <t>Normal HVAC</t>
        </is>
      </c>
      <c r="F11" s="49" t="inlineStr">
        <is>
          <t>None</t>
        </is>
      </c>
      <c r="G11" s="49" t="inlineStr">
        <is>
          <t>None</t>
        </is>
      </c>
      <c r="H11" s="49" t="inlineStr">
        <is>
          <t>Low-dust clean bench; standards and cup storage</t>
        </is>
      </c>
      <c r="I11" s="49" t="inlineStr">
        <is>
          <t>No Gafta method listed.</t>
        </is>
      </c>
    </row>
    <row r="12">
      <c r="A12" s="49" t="inlineStr">
        <is>
          <t>DENS-01 / 02 / 03</t>
        </is>
      </c>
      <c r="B12" s="49" t="inlineStr">
        <is>
          <t>Tapped/manual density apparatus</t>
        </is>
      </c>
      <c r="C12" s="49" t="inlineStr">
        <is>
          <t>Customer-agreed USP &lt;616&gt; density</t>
        </is>
      </c>
      <c r="D12" s="49" t="inlineStr">
        <is>
          <t>120V for tapped tester</t>
        </is>
      </c>
      <c r="E12" s="49" t="inlineStr">
        <is>
          <t>Normal HVAC</t>
        </is>
      </c>
      <c r="F12" s="49" t="inlineStr">
        <is>
          <t>None</t>
        </is>
      </c>
      <c r="G12" s="49" t="inlineStr">
        <is>
          <t>None</t>
        </is>
      </c>
      <c r="H12" s="49" t="inlineStr">
        <is>
          <t>Stable level bench and cylinders</t>
        </is>
      </c>
      <c r="I12" s="49" t="inlineStr">
        <is>
          <t>Gafta bulk density method is for cereals, not DDGS.</t>
        </is>
      </c>
    </row>
    <row r="13">
      <c r="A13" s="49" t="inlineStr">
        <is>
          <t>AA-01 / 02 / 03 / 04</t>
        </is>
      </c>
      <c r="B13" s="49" t="inlineStr">
        <is>
          <t>Amino acid analyzer / dedicated HPLC</t>
        </is>
      </c>
      <c r="C13" s="49" t="inlineStr">
        <is>
          <t>Customer-agreed amino acid methods</t>
        </is>
      </c>
      <c r="D13" s="49" t="inlineStr">
        <is>
          <t>120V or 208-240V; UPS recommended</t>
        </is>
      </c>
      <c r="E13" s="49" t="inlineStr">
        <is>
          <t>Clean instrument HVAC; separate from dust</t>
        </is>
      </c>
      <c r="F13" s="49" t="inlineStr">
        <is>
          <t>DI water nearby helpful</t>
        </is>
      </c>
      <c r="G13" s="49" t="inlineStr">
        <is>
          <t>Nitrogen for evaporation prep if used</t>
        </is>
      </c>
      <c r="H13" s="49" t="inlineStr">
        <is>
          <t>Clean instrument bench, standards/reagent cold storage</t>
        </is>
      </c>
      <c r="I13" s="49" t="inlineStr">
        <is>
          <t>No Gafta amino-acid method listed.</t>
        </is>
      </c>
    </row>
    <row r="14">
      <c r="A14" s="49" t="inlineStr">
        <is>
          <t>AA-PREP-01</t>
        </is>
      </c>
      <c r="B14" s="49" t="inlineStr">
        <is>
          <t>Amino acid hydrolysis and evaporation prep</t>
        </is>
      </c>
      <c r="C14" s="49" t="inlineStr">
        <is>
          <t>Customer-agreed amino acid preparation</t>
        </is>
      </c>
      <c r="D14" s="49" t="inlineStr">
        <is>
          <t>120V/208-240V by evaporator/block</t>
        </is>
      </c>
      <c r="E14" s="49" t="inlineStr">
        <is>
          <t>Acid fume hood strongly recommended</t>
        </is>
      </c>
      <c r="F14" s="49" t="inlineStr">
        <is>
          <t>Sink and chemical-resistant waste handling</t>
        </is>
      </c>
      <c r="G14" s="49" t="inlineStr">
        <is>
          <t>Nitrogen for evaporator; inert gas if method requires</t>
        </is>
      </c>
      <c r="H14" s="49" t="inlineStr">
        <is>
          <t>Corrosion-resistant prep bench and dedicated vessels</t>
        </is>
      </c>
      <c r="I14" s="49" t="inlineStr">
        <is>
          <t>Existing Multiwave remains available.</t>
        </is>
      </c>
    </row>
    <row r="15">
      <c r="A15" s="49" t="inlineStr">
        <is>
          <t>PREP-01 / 02 / 03 / 04</t>
        </is>
      </c>
      <c r="B15" s="49" t="inlineStr">
        <is>
          <t>Primary and fine mills</t>
        </is>
      </c>
      <c r="C15" s="49" t="inlineStr">
        <is>
          <t>Gafta Method 1.0 sample preparation</t>
        </is>
      </c>
      <c r="D15" s="49" t="inlineStr">
        <is>
          <t>120V or 208-240V by mill</t>
        </is>
      </c>
      <c r="E15" s="49" t="inlineStr">
        <is>
          <t>Dust collection strongly recommended</t>
        </is>
      </c>
      <c r="F15" s="49" t="inlineStr">
        <is>
          <t>None</t>
        </is>
      </c>
      <c r="G15" s="49" t="inlineStr">
        <is>
          <t>None</t>
        </is>
      </c>
      <c r="H15" s="49" t="inlineStr">
        <is>
          <t>Heavy-duty workbench, floor clearance, noise control</t>
        </is>
      </c>
      <c r="I15" s="49" t="inlineStr">
        <is>
          <t>Primary mill must handle Gafta batch sizes; small mill is supplemental only.</t>
        </is>
      </c>
    </row>
    <row r="16">
      <c r="A16" s="49" t="inlineStr">
        <is>
          <t>PREP-05</t>
        </is>
      </c>
      <c r="B16" s="49" t="inlineStr">
        <is>
          <t>Sample divider</t>
        </is>
      </c>
      <c r="C16" s="49" t="inlineStr">
        <is>
          <t>Gafta Method 1.0 representative division</t>
        </is>
      </c>
      <c r="D16" s="49" t="inlineStr">
        <is>
          <t>120V if motorized</t>
        </is>
      </c>
      <c r="E16" s="49" t="inlineStr">
        <is>
          <t>Normal HVAC; control dust</t>
        </is>
      </c>
      <c r="F16" s="49" t="inlineStr">
        <is>
          <t>None</t>
        </is>
      </c>
      <c r="G16" s="49" t="inlineStr">
        <is>
          <t>None</t>
        </is>
      </c>
      <c r="H16" s="49" t="inlineStr">
        <is>
          <t>Bench/stand between mills and analytical lanes</t>
        </is>
      </c>
      <c r="I16" s="49" t="inlineStr">
        <is>
          <t>Critical for representative aliquots.</t>
        </is>
      </c>
    </row>
    <row r="17">
      <c r="A17" s="49" t="inlineStr">
        <is>
          <t>PREP-06 / 07 / 08</t>
        </is>
      </c>
      <c r="B17" s="49" t="inlineStr">
        <is>
          <t>Sieve shaker and certified sieves</t>
        </is>
      </c>
      <c r="C17" s="49" t="inlineStr">
        <is>
          <t>Gafta Method 1.0 particle-size verification</t>
        </is>
      </c>
      <c r="D17" s="49" t="inlineStr">
        <is>
          <t>120V for shaker</t>
        </is>
      </c>
      <c r="E17" s="49" t="inlineStr">
        <is>
          <t>Normal HVAC; control dust</t>
        </is>
      </c>
      <c r="F17" s="49" t="inlineStr">
        <is>
          <t>None</t>
        </is>
      </c>
      <c r="G17" s="49" t="inlineStr">
        <is>
          <t>None</t>
        </is>
      </c>
      <c r="H17" s="49" t="inlineStr">
        <is>
          <t>Bench/cart and protected sieve storage</t>
        </is>
      </c>
      <c r="I17" s="49" t="inlineStr">
        <is>
          <t>1.00 mm and 2.80 mm working/reference sieves.</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H28"/>
  <sheetViews>
    <sheetView workbookViewId="0">
      <pane ySplit="5" topLeftCell="A6" activePane="bottomLeft" state="frozen"/>
      <selection pane="bottomLeft" activeCell="A1" sqref="A1"/>
    </sheetView>
  </sheetViews>
  <sheetFormatPr baseColWidth="8" defaultRowHeight="15"/>
  <cols>
    <col width="22" customWidth="1" min="1" max="1"/>
    <col width="28" customWidth="1" min="2" max="2"/>
    <col width="30" customWidth="1" min="3" max="3"/>
    <col width="34" customWidth="1" min="4" max="4"/>
    <col width="24" customWidth="1" min="5" max="5"/>
    <col width="10" customWidth="1" min="8" max="8"/>
    <col width="10" customWidth="1" min="9" max="9"/>
    <col width="18" customWidth="1" min="10" max="10"/>
  </cols>
  <sheetData>
    <row r="1">
      <c r="A1" s="46" t="inlineStr">
        <is>
          <t>DDGS Site Layout Mockup (concept)</t>
        </is>
      </c>
    </row>
    <row r="2">
      <c r="A2" s="27" t="inlineStr">
        <is>
          <t>Assumptions: the area labeled 'Future' is available for DDGS buildout; the adjacent greyed 'Prep Lab' and 'Lab' already contain the existing LCMS, ICP-OES, and microwave. Use one-way flow from sample receipt -&gt; coarse prep -&gt; fine prep/dividing -&gt; wet chemistry / extraction -&gt; clean instruments -&gt; reporting / retain storage.</t>
        </is>
      </c>
    </row>
    <row r="3"/>
    <row r="5">
      <c r="A5" s="26" t="inlineStr">
        <is>
          <t>Recommended zones</t>
        </is>
      </c>
    </row>
    <row r="6">
      <c r="A6" s="28" t="inlineStr">
        <is>
          <t>Zone</t>
        </is>
      </c>
      <c r="B6" s="28" t="inlineStr">
        <is>
          <t>Suggested location within FUTURE area</t>
        </is>
      </c>
      <c r="C6" s="28" t="inlineStr">
        <is>
          <t>Main equipment / activity</t>
        </is>
      </c>
      <c r="D6" s="28" t="inlineStr">
        <is>
          <t>Why this location / adjacency</t>
        </is>
      </c>
      <c r="E6" s="28" t="inlineStr">
        <is>
          <t>Shared site prep</t>
        </is>
      </c>
      <c r="F6" s="28" t="n"/>
      <c r="G6" s="28" t="n"/>
      <c r="H6" s="28" t="n"/>
    </row>
    <row r="7">
      <c r="A7" s="30" t="inlineStr">
        <is>
          <t>1. Receiving / login</t>
        </is>
      </c>
      <c r="B7" s="30" t="inlineStr">
        <is>
          <t>Near entrance edge of FUTURE area, closest to traffic path</t>
        </is>
      </c>
      <c r="C7" s="30" t="inlineStr">
        <is>
          <t>Sample intake, labeling, initial photo/log, short-term hold</t>
        </is>
      </c>
      <c r="D7" s="30" t="inlineStr">
        <is>
          <t>Keeps dirty incoming material from crossing clean zones</t>
        </is>
      </c>
      <c r="E7" s="30" t="inlineStr">
        <is>
          <t>Bench, computer, shelving, carts</t>
        </is>
      </c>
    </row>
    <row r="8">
      <c r="A8" s="30" t="inlineStr">
        <is>
          <t>2. Retain / bulk storage</t>
        </is>
      </c>
      <c r="B8" s="30" t="inlineStr">
        <is>
          <t>West / northwest side near existing Storage room</t>
        </is>
      </c>
      <c r="C8" s="30" t="inlineStr">
        <is>
          <t>Bulk sample storage, retains, consumables overflow</t>
        </is>
      </c>
      <c r="D8" s="30" t="inlineStr">
        <is>
          <t>Close to receiving and away from clean instruments</t>
        </is>
      </c>
      <c r="E8" s="30" t="inlineStr">
        <is>
          <t>Shelving, pallets, environmental monitoring as needed</t>
        </is>
      </c>
    </row>
    <row r="9">
      <c r="A9" s="30" t="inlineStr">
        <is>
          <t>3. Dirty prep / primary grinding</t>
        </is>
      </c>
      <c r="B9" s="30" t="inlineStr">
        <is>
          <t>West to southwest side of FUTURE area</t>
        </is>
      </c>
      <c r="C9" s="30" t="inlineStr">
        <is>
          <t>Primary mill, bag opening, large sample reduction</t>
        </is>
      </c>
      <c r="D9" s="30" t="inlineStr">
        <is>
          <t>Best place for dust/noise control and nearest retain storage</t>
        </is>
      </c>
      <c r="E9" s="30" t="inlineStr">
        <is>
          <t>Dust collection, heavy Uline benches, floor clearance</t>
        </is>
      </c>
    </row>
    <row r="10">
      <c r="A10" s="30" t="inlineStr">
        <is>
          <t>4. Fine grinding / dividing / sieve check</t>
        </is>
      </c>
      <c r="B10" s="30" t="inlineStr">
        <is>
          <t>Center-west or center of FUTURE area</t>
        </is>
      </c>
      <c r="C10" s="30" t="inlineStr">
        <is>
          <t>Fine mill, rotary/sample divider, sieve shaker</t>
        </is>
      </c>
      <c r="D10" s="30" t="inlineStr">
        <is>
          <t>Logical step after primary grind and before routing aliquots to all test lanes</t>
        </is>
      </c>
      <c r="E10" s="30" t="inlineStr">
        <is>
          <t>Heavy benches, dust collection, nearby balance</t>
        </is>
      </c>
    </row>
    <row r="11">
      <c r="A11" s="30" t="inlineStr">
        <is>
          <t>5. Wet chemistry prep</t>
        </is>
      </c>
      <c r="B11" s="30" t="inlineStr">
        <is>
          <t>North / northeast side adjacent to drying room and closest practical utility runs</t>
        </is>
      </c>
      <c r="C11" s="30" t="inlineStr">
        <is>
          <t>Reagent prep, starch kit work, phosphorus wet chemistry, amino-acid hydrolysis prep</t>
        </is>
      </c>
      <c r="D11" s="30" t="inlineStr">
        <is>
          <t>Clusters sinks, drains, acid/base handling, and close access to ovens/drying room</t>
        </is>
      </c>
      <c r="E11" s="30" t="inlineStr">
        <is>
          <t>Sink, acid-resistant bench, hood access</t>
        </is>
      </c>
    </row>
    <row r="12">
      <c r="A12" s="30" t="inlineStr">
        <is>
          <t>6. Solvent extraction cluster</t>
        </is>
      </c>
      <c r="B12" s="30" t="inlineStr">
        <is>
          <t>Along north/east wall of FUTURE area</t>
        </is>
      </c>
      <c r="C12" s="30" t="inlineStr">
        <is>
          <t>Soxtec / solvent extractor and possibly fiber cold extractor</t>
        </is>
      </c>
      <c r="D12" s="30" t="inlineStr">
        <is>
          <t>Groups solvent-heavy equipment together for common ventilation and flammables control</t>
        </is>
      </c>
      <c r="E12" s="30" t="inlineStr">
        <is>
          <t>Exhaust/hood-adjacent siting, solvent storage/waste</t>
        </is>
      </c>
    </row>
    <row r="13">
      <c r="A13" s="30" t="inlineStr">
        <is>
          <t>7. Fiber / drying / ash cluster</t>
        </is>
      </c>
      <c r="B13" s="30" t="inlineStr">
        <is>
          <t>Near solvent extraction and drying room</t>
        </is>
      </c>
      <c r="C13" s="30" t="inlineStr">
        <is>
          <t>FIWE/Fibertec crucible systems, reference oven, muffle furnace and desiccators</t>
        </is>
      </c>
      <c r="D13" s="30" t="inlineStr">
        <is>
          <t>Shared relationship to drying/ashing and wet chemistry workflow</t>
        </is>
      </c>
      <c r="E13" s="30" t="inlineStr">
        <is>
          <t>Water/drain for fiber analyzer, heat-safe area, desiccator bench</t>
        </is>
      </c>
    </row>
    <row r="14">
      <c r="A14" s="30" t="inlineStr">
        <is>
          <t>8. Clean general bench</t>
        </is>
      </c>
      <c r="B14" s="30" t="inlineStr">
        <is>
          <t>Center-east side of FUTURE area</t>
        </is>
      </c>
      <c r="C14" s="30" t="inlineStr">
        <is>
          <t>UV-Vis, polarimeter, Hunter color, density tester and balances</t>
        </is>
      </c>
      <c r="D14" s="30" t="inlineStr">
        <is>
          <t>These instruments benefit from lower dust and easy access from multiple test lanes</t>
        </is>
      </c>
      <c r="E14" s="30" t="inlineStr">
        <is>
          <t>Clean Uline benches, low vibration</t>
        </is>
      </c>
    </row>
    <row r="15">
      <c r="A15" s="30" t="inlineStr">
        <is>
          <t>9. Clean instrument zone</t>
        </is>
      </c>
      <c r="B15" s="30" t="inlineStr">
        <is>
          <t>East side nearest existing Prep Lab / Lab</t>
        </is>
      </c>
      <c r="C15" s="30" t="inlineStr">
        <is>
          <t>LECO 828P and amino acid analyzer</t>
        </is>
      </c>
      <c r="D15" s="30" t="inlineStr">
        <is>
          <t>Closest to existing instrument rooms, utilities, and data network; separates them from grind dust</t>
        </is>
      </c>
      <c r="E15" s="30" t="inlineStr">
        <is>
          <t>Dedicated power, clean HVAC, gas bottles/generators as needed</t>
        </is>
      </c>
    </row>
    <row r="16">
      <c r="A16" s="30" t="inlineStr">
        <is>
          <t>10. Existing instrument room interface</t>
        </is>
      </c>
      <c r="B16" s="30" t="inlineStr">
        <is>
          <t>Existing Prep Lab / Lab</t>
        </is>
      </c>
      <c r="C16" s="30" t="inlineStr">
        <is>
          <t>Existing LCMS-8040RX, ICP-OES, Multiwave 5000</t>
        </is>
      </c>
      <c r="D16" s="30" t="inlineStr">
        <is>
          <t>Leave these in their current controlled location and route prepared aliquots in</t>
        </is>
      </c>
      <c r="E16" s="30" t="inlineStr">
        <is>
          <t>Already installed utilities</t>
        </is>
      </c>
    </row>
    <row r="19">
      <c r="A19" s="26" t="inlineStr">
        <is>
          <t>Suggested one-way workflow</t>
        </is>
      </c>
    </row>
    <row r="20">
      <c r="A20" s="27" t="inlineStr">
        <is>
          <t>Receive sample -&gt; store/retain -&gt; coarse grind -&gt; fine grind/divide -&gt; send aliquots to (a) mycotoxins / minerals in existing Prep Lab/Lab, (b) fat/fiber/moisture/ash lane, (c) color/density/starch lane, and (d) amino acid prep/analyzer -&gt; review/report -&gt; archive retain.</t>
        </is>
      </c>
    </row>
    <row r="21"/>
    <row r="23">
      <c r="A23" s="26" t="inlineStr">
        <is>
          <t>Clustering advice</t>
        </is>
      </c>
    </row>
    <row r="24">
      <c r="A24" s="30" t="inlineStr">
        <is>
          <t>Shared exhaust / hood-adjacent</t>
        </is>
      </c>
      <c r="B24" s="30" t="inlineStr">
        <is>
          <t>Soxtec/SER, solvent handling, amino-acid acid hydrolysis prep</t>
        </is>
      </c>
    </row>
    <row r="25">
      <c r="A25" s="30" t="inlineStr">
        <is>
          <t>Shared water / drain</t>
        </is>
      </c>
      <c r="B25" s="30" t="inlineStr">
        <is>
          <t>Fiber analyzer, wet chemistry bench, sink-based reagent prep</t>
        </is>
      </c>
    </row>
    <row r="26">
      <c r="A26" s="30" t="inlineStr">
        <is>
          <t>Shared heat / drying</t>
        </is>
      </c>
      <c r="B26" s="30" t="inlineStr">
        <is>
          <t>reference moisture oven, muffle furnace and desiccator bench</t>
        </is>
      </c>
    </row>
    <row r="27">
      <c r="A27" s="30" t="inlineStr">
        <is>
          <t>Clean low-dust benching</t>
        </is>
      </c>
      <c r="B27" s="30" t="inlineStr">
        <is>
          <t>UV-Vis, Hunter color, density tester, amino acid analyzer, LECO 828P</t>
        </is>
      </c>
    </row>
    <row r="28">
      <c r="A28" s="30" t="inlineStr">
        <is>
          <t>Dirty/noisy zone</t>
        </is>
      </c>
      <c r="B28" s="30" t="inlineStr">
        <is>
          <t>Primary mill, fine mill, divider, sieves, bag opening and sample reduction</t>
        </is>
      </c>
    </row>
  </sheetData>
  <mergeCells count="2">
    <mergeCell ref="A20:H21"/>
    <mergeCell ref="A2:H3"/>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2026-08-09T04:07:44Z</dcterms:created>
  <dcterms:modified xmlns:dcterms="http://purl.org/dc/terms/" xmlns:xsi="http://www.w3.org/2001/XMLSchema-instance" xsi:type="dcterms:W3CDTF">2026-08-09T20:16:29Z</dcterms:modified>
</cp:coreProperties>
</file>